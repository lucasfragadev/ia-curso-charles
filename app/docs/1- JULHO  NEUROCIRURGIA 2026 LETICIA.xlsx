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HO  2026" sheetId="1" r:id="rId5"/>
    <sheet state="hidden" name="por medico" sheetId="2" r:id="rId6"/>
    <sheet state="hidden" name="Planilha8" sheetId="3" r:id="rId7"/>
    <sheet state="hidden" name="Planilha9" sheetId="4" r:id="rId8"/>
    <sheet state="hidden" name="Planilha10" sheetId="5" r:id="rId9"/>
    <sheet state="hidden" name="Planilha11" sheetId="6" r:id="rId10"/>
    <sheet state="hidden" name="Planilha12" sheetId="7" r:id="rId11"/>
    <sheet state="hidden" name="Planilha13" sheetId="8" r:id="rId12"/>
    <sheet state="hidden" name="Planilha14" sheetId="9" r:id="rId13"/>
    <sheet state="hidden" name="0403010" sheetId="10" r:id="rId14"/>
    <sheet state="hidden" name="0408030" sheetId="11" r:id="rId15"/>
    <sheet state="hidden" name="0403020" sheetId="12" r:id="rId16"/>
    <sheet state="hidden" name="0403030" sheetId="13" r:id="rId17"/>
    <sheet state="hidden" name="0403040" sheetId="14" r:id="rId18"/>
    <sheet state="hidden" name="0403050" sheetId="15" r:id="rId19"/>
    <sheet state="hidden" name="outros codigos" sheetId="16" r:id="rId20"/>
    <sheet state="hidden" name="CALCULOS EXTRAS" sheetId="17" r:id="rId21"/>
    <sheet state="hidden" name="PENDENCIAS" sheetId="18" r:id="rId22"/>
    <sheet state="hidden" name="OBSERVAÇÕES" sheetId="19" r:id="rId23"/>
    <sheet state="hidden" name="Planilha1" sheetId="20" r:id="rId24"/>
    <sheet state="hidden" name="POR PACIENTE" sheetId="21" r:id="rId25"/>
    <sheet state="hidden" name="Planilha5" sheetId="22" r:id="rId26"/>
    <sheet state="hidden" name="Planilha6" sheetId="23" r:id="rId27"/>
    <sheet state="hidden" name="Planilha7" sheetId="24" r:id="rId28"/>
    <sheet state="hidden" name="Planilha4" sheetId="25" r:id="rId29"/>
    <sheet state="hidden" name="Plan2" sheetId="26" r:id="rId30"/>
    <sheet state="hidden" name="Plan1" sheetId="27" r:id="rId31"/>
    <sheet state="hidden" name="Plan4" sheetId="28" r:id="rId32"/>
    <sheet state="hidden" name="Plan3" sheetId="29" r:id="rId33"/>
    <sheet state="hidden" name="Plan5" sheetId="30" r:id="rId34"/>
    <sheet state="hidden" name="Plan6" sheetId="31" r:id="rId35"/>
    <sheet state="hidden" name="Planilha15" sheetId="32" r:id="rId36"/>
    <sheet state="hidden" name="Plan7" sheetId="33" r:id="rId37"/>
    <sheet state="hidden" name="Planilha3" sheetId="34" r:id="rId38"/>
    <sheet state="hidden" name="Plan8" sheetId="35" r:id="rId39"/>
  </sheets>
  <definedNames/>
  <calcPr/>
</workbook>
</file>

<file path=xl/sharedStrings.xml><?xml version="1.0" encoding="utf-8"?>
<sst xmlns="http://schemas.openxmlformats.org/spreadsheetml/2006/main" count="1708" uniqueCount="767">
  <si>
    <t>GOVERNO DO ESTADO DA BAHIA</t>
  </si>
  <si>
    <t>Secretaria da Saúde do Estado da Bahia – SESAB</t>
  </si>
  <si>
    <t>Hospital Geral Clériston Andrade - HGCA</t>
  </si>
  <si>
    <t>Feira de Santana, 26 de AGOSTO de 2026.</t>
  </si>
  <si>
    <t>De: Contas Hospitalares</t>
  </si>
  <si>
    <t>Para: Diretoria Médica/ Coordenação Neurologia</t>
  </si>
  <si>
    <t xml:space="preserve">Relatório de Pacientes que realizaram neurocirurgia no HGCA </t>
  </si>
  <si>
    <t>DATA:</t>
  </si>
  <si>
    <t>Profissional</t>
  </si>
  <si>
    <t xml:space="preserve">frequencia  mensal </t>
  </si>
  <si>
    <t>Valor SP SIGITAP</t>
  </si>
  <si>
    <t>Relatório de pacientes que realizaram neurocirurgia no HGCA em JULHO  2026</t>
  </si>
  <si>
    <t xml:space="preserve">Relatório de Pacientes que realizaram neurocirurgia no HGCA . </t>
  </si>
  <si>
    <t>data:</t>
  </si>
  <si>
    <r>
      <rPr>
        <rFont val="Calibri"/>
        <b/>
        <color theme="1"/>
        <sz val="14.0"/>
      </rPr>
      <t>N</t>
    </r>
    <r>
      <rPr>
        <rFont val="Aptos Narrow"/>
        <b/>
        <color theme="1"/>
        <sz val="14.0"/>
      </rPr>
      <t>°</t>
    </r>
  </si>
  <si>
    <t>Codigo</t>
  </si>
  <si>
    <t>CAMILA MOURA DE SOUSA</t>
  </si>
  <si>
    <t xml:space="preserve">Nome </t>
  </si>
  <si>
    <t>valor</t>
  </si>
  <si>
    <t xml:space="preserve">quantidade mês </t>
  </si>
  <si>
    <t>Nome:</t>
  </si>
  <si>
    <t xml:space="preserve">Data da cirurgia </t>
  </si>
  <si>
    <t xml:space="preserve">Relatório de Pacientes que realizaram neurocirurgia no HGCA em agosto de 2023 . </t>
  </si>
  <si>
    <t xml:space="preserve">quantidade  mês </t>
  </si>
  <si>
    <t>gastos</t>
  </si>
  <si>
    <t>040301001-2</t>
  </si>
  <si>
    <t>040803001-1</t>
  </si>
  <si>
    <t>Número de registro</t>
  </si>
  <si>
    <t>Código Sigtap</t>
  </si>
  <si>
    <t>Descritivo</t>
  </si>
  <si>
    <t>JAQUISSON  DE DEUS GUIMARÃES FILHO</t>
  </si>
  <si>
    <t>LUIZ AUGUSTO MEDRADO SOEIRO</t>
  </si>
  <si>
    <t xml:space="preserve">EDUARDO VARJÃO VIEIRA </t>
  </si>
  <si>
    <t>DOUGLAS L. TRAVASSOS</t>
  </si>
  <si>
    <t>PEDRO HENRIQUE V.  PONDÉ DE SENA</t>
  </si>
  <si>
    <t>ALLAN FRANÇA ALVES</t>
  </si>
  <si>
    <t>WAGNER DE AZEVEDO  HERCULANO</t>
  </si>
  <si>
    <t>ISRAEL MARQUES  NETO</t>
  </si>
  <si>
    <t>ARTUR BASTOS ROCHA</t>
  </si>
  <si>
    <t>IOGO HENRIQUE DE O. ARAUJO</t>
  </si>
  <si>
    <t xml:space="preserve">Cranioplastia </t>
  </si>
  <si>
    <t>MARCIO BRANDÃO</t>
  </si>
  <si>
    <t xml:space="preserve">ANTONIO GUTEMBERG DE SOUZA MARTINS </t>
  </si>
  <si>
    <t>artrodese cervical /cervico toráxica posterior 5 niveis</t>
  </si>
  <si>
    <t>LUCAS  CHAVES LELIS</t>
  </si>
  <si>
    <t>OBS</t>
  </si>
  <si>
    <t xml:space="preserve">total procedimentos </t>
  </si>
  <si>
    <t>CARMELITA MARIA  DE JESUS</t>
  </si>
  <si>
    <t>040803002-0</t>
  </si>
  <si>
    <t>artrodese cervical /cervico toráxica posterior 1 nivel</t>
  </si>
  <si>
    <t>040803003-8</t>
  </si>
  <si>
    <t>artrodese cervical /cervico toráxica posterior 2 niveis</t>
  </si>
  <si>
    <t>040803004-6</t>
  </si>
  <si>
    <t>artrodese cervical /cervico toráxica posterior 6 niveis</t>
  </si>
  <si>
    <t>040803005-4</t>
  </si>
  <si>
    <t xml:space="preserve">artrodese cervical /cervico toráxica posterior 3 niveis </t>
  </si>
  <si>
    <t>040803006-2</t>
  </si>
  <si>
    <t xml:space="preserve">artrodese cervical anterior 3 niveis </t>
  </si>
  <si>
    <t>0408030291</t>
  </si>
  <si>
    <t>040803007-0</t>
  </si>
  <si>
    <t xml:space="preserve">artrodese cervical anterior 2 niveis </t>
  </si>
  <si>
    <t>040803008-9</t>
  </si>
  <si>
    <t>artrodese cervical anterior C1-C2 via trans-oral/extra oral</t>
  </si>
  <si>
    <t>040803009-7</t>
  </si>
  <si>
    <t xml:space="preserve">artrodese cervical anterior  5 niveis </t>
  </si>
  <si>
    <t>040803010-0</t>
  </si>
  <si>
    <t xml:space="preserve">artrodese cervical anterior  4 niveis </t>
  </si>
  <si>
    <t>040803011-9</t>
  </si>
  <si>
    <t>artrodese cervical anterior 1 nivel</t>
  </si>
  <si>
    <t>040301002-0</t>
  </si>
  <si>
    <t>Craniotomia descompressiva</t>
  </si>
  <si>
    <t>040803012-7</t>
  </si>
  <si>
    <t>artrodese cervical posterior C1-C2</t>
  </si>
  <si>
    <t>040803013-5</t>
  </si>
  <si>
    <t xml:space="preserve">artrodese intersomatica vias posterior /postero lateral  1 nivel </t>
  </si>
  <si>
    <t>040803014-3</t>
  </si>
  <si>
    <t xml:space="preserve">artrodese intersomatica vias posterior /postero lateral  2 niveis </t>
  </si>
  <si>
    <t>040803015-1</t>
  </si>
  <si>
    <t>artrodese intersomatica vias posterior /postero lateral  4 niveis</t>
  </si>
  <si>
    <t>040803016-0</t>
  </si>
  <si>
    <t xml:space="preserve">artrodese intersomatica vias posterior /postero lateral  5 niveis </t>
  </si>
  <si>
    <t>040301003-9</t>
  </si>
  <si>
    <t>Craniotomia descompressiva da fossa posterior</t>
  </si>
  <si>
    <t>040301004-7</t>
  </si>
  <si>
    <t>Craniotomia para retirada de cisto/ abcesso/granuloma encefalico</t>
  </si>
  <si>
    <t>040301005-5</t>
  </si>
  <si>
    <t>Craniotomia para retirada de cisto/ abcesso/granuloma encefalico(tecnica complementar)</t>
  </si>
  <si>
    <t>040803017-8</t>
  </si>
  <si>
    <t>artrodese  occipto-cervical (C2) posterior</t>
  </si>
  <si>
    <t>040803018-6</t>
  </si>
  <si>
    <t>artrodese  occipto-cervical (C3) posterior</t>
  </si>
  <si>
    <t>040803019-4</t>
  </si>
  <si>
    <t>artrodese  occipto-cervical (C4) posterior</t>
  </si>
  <si>
    <t>040803020-8</t>
  </si>
  <si>
    <t>artrodese  occipto-cervical (C5) posterior</t>
  </si>
  <si>
    <t>040803021-6</t>
  </si>
  <si>
    <t>artrodese  occipto-cervical (C6) posterior</t>
  </si>
  <si>
    <t>040803022-4</t>
  </si>
  <si>
    <t>artrodese  occipto-cervical (C7) posterior</t>
  </si>
  <si>
    <t>040803023-2</t>
  </si>
  <si>
    <t>artrodese toraco-lombo-sacra anterior 1 nivel</t>
  </si>
  <si>
    <t>040803024-0</t>
  </si>
  <si>
    <t>artrodese toraco-lombo-sacra anterior 2 niveis</t>
  </si>
  <si>
    <t>040803025-9</t>
  </si>
  <si>
    <t>artrodese toraco-lombo-sacra anterior 3 niveis</t>
  </si>
  <si>
    <t>040803026-7</t>
  </si>
  <si>
    <t>artrodese toraco-lombo-sacra posterior  1 nivel</t>
  </si>
  <si>
    <t>040803027-5</t>
  </si>
  <si>
    <t>artrodese toraco-lombo-sacra posterior 3 niveis</t>
  </si>
  <si>
    <t>040803028-3</t>
  </si>
  <si>
    <t>artrodese toraco-lombo-sacra posterior 5  niveis</t>
  </si>
  <si>
    <t>040803029-1</t>
  </si>
  <si>
    <t>artrodese toraco-lombo-sacra posterior 2 niveis</t>
  </si>
  <si>
    <t>040803030-5</t>
  </si>
  <si>
    <t>artrodese toraco-lombo-sacra posterior 4 niveis</t>
  </si>
  <si>
    <t>040803031-3</t>
  </si>
  <si>
    <t>artrodese toraco-lombo-sacra posterior 6  niveis</t>
  </si>
  <si>
    <t>040301006-3</t>
  </si>
  <si>
    <t>Craniotomia para retirada de corpo estranho intracraniano</t>
  </si>
  <si>
    <t>040301007-1</t>
  </si>
  <si>
    <t>Craniotomia para retirada de corpo estranho intracraniano(tecnica complementar)</t>
  </si>
  <si>
    <t>040803032-1</t>
  </si>
  <si>
    <t>artrodese toraco-lombo-sacra posterior 7  niveis</t>
  </si>
  <si>
    <t>040301008-0</t>
  </si>
  <si>
    <t>derivação raque-peritoneal</t>
  </si>
  <si>
    <t>040803033-0</t>
  </si>
  <si>
    <t>costo -transversectomia</t>
  </si>
  <si>
    <t>040301009-8</t>
  </si>
  <si>
    <t>derivação ventricular externa -subgaleal  externa</t>
  </si>
  <si>
    <t>040803034-8</t>
  </si>
  <si>
    <t>cotoplastia (3 ou mais costelas)</t>
  </si>
  <si>
    <t>040301010-1</t>
  </si>
  <si>
    <t>040803035-6</t>
  </si>
  <si>
    <t>derivação ventricular para peritoneo/atrio/pleura/raque</t>
  </si>
  <si>
    <t>descompressão  da junção cranio cervical  via transoral/retrofaringea</t>
  </si>
  <si>
    <t>040803036-4</t>
  </si>
  <si>
    <t>040301011-0</t>
  </si>
  <si>
    <t>descompressão de orbita por doença  ou trauma</t>
  </si>
  <si>
    <t>descompressão ossea na junção cranio cervical vias posterior</t>
  </si>
  <si>
    <t>040301012-8</t>
  </si>
  <si>
    <t>microcirurgia cerebral endoscopica</t>
  </si>
  <si>
    <t>040803037-2</t>
  </si>
  <si>
    <t>descompressão ossea na junção cranio cervical vias posterior com duroplastia</t>
  </si>
  <si>
    <t>040301013-6</t>
  </si>
  <si>
    <t>microcirurgia da siringomielia</t>
  </si>
  <si>
    <t>040803038-0</t>
  </si>
  <si>
    <t>disectomia cervical/lombar/lombo-sacra por via posterior (1 nivel com microscopio)</t>
  </si>
  <si>
    <t>040301014-4</t>
  </si>
  <si>
    <t>reconstução craniama /cranio-facial</t>
  </si>
  <si>
    <t>040803039-9</t>
  </si>
  <si>
    <t>disectomia cervical/lombar/lombo-sacra por via posterior (1 nivel )</t>
  </si>
  <si>
    <t>040301015-2</t>
  </si>
  <si>
    <t>ressecção de mucocele frontal</t>
  </si>
  <si>
    <t>040803040-2</t>
  </si>
  <si>
    <t>disectomia cervical/lombar/lombo-sacra por via posterior (2 niveis)</t>
  </si>
  <si>
    <t>040803041-0</t>
  </si>
  <si>
    <t xml:space="preserve">disectomia cervical/lombar/lombo-sacra por via posterior (2 ou  mais  niveis com microscopio) </t>
  </si>
  <si>
    <t>040803042-9</t>
  </si>
  <si>
    <t xml:space="preserve">disectomia cervical anterior  (até 2 niveis com microscopio) </t>
  </si>
  <si>
    <t>040301016-0</t>
  </si>
  <si>
    <t>retirada de derivação ventrucular para perotoneo/atrio/pluyra/raque</t>
  </si>
  <si>
    <t>040301017-9</t>
  </si>
  <si>
    <t>retirada de placa de cranioplastia</t>
  </si>
  <si>
    <t>040301018-7</t>
  </si>
  <si>
    <t>revisão derivação ventricular para peritoneo/atrio/pleura/raque</t>
  </si>
  <si>
    <t>040301019-5</t>
  </si>
  <si>
    <t>tratamento cirurgico de abcesso intracraniano</t>
  </si>
  <si>
    <t>040301020-9</t>
  </si>
  <si>
    <t>tratamento cirurgico  de craniossinostose com sutura unica</t>
  </si>
  <si>
    <t>040301021-7</t>
  </si>
  <si>
    <t>tratamento cirurgico  de craniossinostose complexa</t>
  </si>
  <si>
    <t>040301022-5</t>
  </si>
  <si>
    <t>tratamento cirurgico  de disrafismo aberto</t>
  </si>
  <si>
    <t>040301023-3</t>
  </si>
  <si>
    <t>tratamento cirurgico  de disrafismo oculto</t>
  </si>
  <si>
    <t>OPME</t>
  </si>
  <si>
    <t>040301024-1</t>
  </si>
  <si>
    <t>tratamento cirurgico de fistula liquorica craniana</t>
  </si>
  <si>
    <t>040803043-7</t>
  </si>
  <si>
    <t>disectomia cervical por via  anterior ( 1 nivel)</t>
  </si>
  <si>
    <t>040803044-5</t>
  </si>
  <si>
    <t>disectomia cervical por via  anterior (2 ou  mais  niveis)</t>
  </si>
  <si>
    <t>040803045-3</t>
  </si>
  <si>
    <t>disectomia  toraco-lombo-sacra por via  anterior  (com 2 ou  mais  niveis)</t>
  </si>
  <si>
    <t>040803046-1</t>
  </si>
  <si>
    <t>disectomia  toraco-lombo-sacra por via  anterior ( 1 nivel)</t>
  </si>
  <si>
    <t>040301025-0</t>
  </si>
  <si>
    <t>tratamento cirurgico de fistula liquorica raquidiana</t>
  </si>
  <si>
    <t>040803047-0</t>
  </si>
  <si>
    <t>drenagem cirurgica do iliopsoas</t>
  </si>
  <si>
    <t>040301026-8</t>
  </si>
  <si>
    <t>tratamento cirurgico de fratura do craniano com afundamento</t>
  </si>
  <si>
    <t>040803048-8</t>
  </si>
  <si>
    <t>040301027-6</t>
  </si>
  <si>
    <t>instalação  de tração craniana</t>
  </si>
  <si>
    <t>tratamento cirurgico de hematoma extradural</t>
  </si>
  <si>
    <t>0408030135</t>
  </si>
  <si>
    <t>040803050-0</t>
  </si>
  <si>
    <t>ressecção de 2 ou mais corpos vertebrais cervicais</t>
  </si>
  <si>
    <t>040301028-4</t>
  </si>
  <si>
    <t>tratamento cirurgico de hematoma intracerebral</t>
  </si>
  <si>
    <t>040803051-8</t>
  </si>
  <si>
    <t>ressecção de 2 ou mais corpos vertebrais toraco-lombo-sacros</t>
  </si>
  <si>
    <t>040301029-2</t>
  </si>
  <si>
    <t>040803052-6</t>
  </si>
  <si>
    <t>tratamento cirurgico de hematoma intracerebral (tecnica complementar)</t>
  </si>
  <si>
    <t>ressecção de coccix</t>
  </si>
  <si>
    <t>040803053-4</t>
  </si>
  <si>
    <t>ressecção de elemento vertebral posterior /postero-lateral /distal a C2 (mais de 2 segmentos)</t>
  </si>
  <si>
    <t>040803054-2</t>
  </si>
  <si>
    <t>040301030-6</t>
  </si>
  <si>
    <t>ressecção de elemento vertebral posterior /postero-lateral /distal a C2 ( até 2 segmentos)</t>
  </si>
  <si>
    <t>Tratamento cirurgico de hematoma subdural agudo</t>
  </si>
  <si>
    <t>040301031-4</t>
  </si>
  <si>
    <t>Tratamento cirurgico de hematoma subdural cronico</t>
  </si>
  <si>
    <t>040301032-2</t>
  </si>
  <si>
    <t>Tratamento cirurgico de osteomielite do cranio</t>
  </si>
  <si>
    <t>040301033-0</t>
  </si>
  <si>
    <t>Tratamento cirurgico de plastibasia e malformação de arnold chiari</t>
  </si>
  <si>
    <t>040301034-9</t>
  </si>
  <si>
    <t>trepanação craniana para propedeutica neurocirurgica/implante para monitoração pic</t>
  </si>
  <si>
    <t>040301035-7</t>
  </si>
  <si>
    <t>trepanação craniana para punção ou biopsia   (tecnica complementar)</t>
  </si>
  <si>
    <t>040301036-5</t>
  </si>
  <si>
    <t xml:space="preserve">trepanação craniana para punção ou biopsia   </t>
  </si>
  <si>
    <t>040803055-0</t>
  </si>
  <si>
    <t>ressecção de um corpo vertebral  cervical</t>
  </si>
  <si>
    <t>040301039-0</t>
  </si>
  <si>
    <t>drenagem liquorica lombar externa</t>
  </si>
  <si>
    <t>040803056-9</t>
  </si>
  <si>
    <t>ressecção de um corpo vertebral toraco-lombo-sacro</t>
  </si>
  <si>
    <t>040803057-7</t>
  </si>
  <si>
    <t>retirada de corpo estranho da coluna cervical por via anterior</t>
  </si>
  <si>
    <t>040803058-5</t>
  </si>
  <si>
    <t>retirada de corpo estranho da coluna cervical por via posterior</t>
  </si>
  <si>
    <t>040803059-3</t>
  </si>
  <si>
    <t>retirada de corpo estranho da colunatoraco-lombo-sacra por via anterior</t>
  </si>
  <si>
    <t>040803060-7</t>
  </si>
  <si>
    <t>retirada de corpo estranho da colunatoraco-lombo-sacra por via posterior</t>
  </si>
  <si>
    <t>040803061-5</t>
  </si>
  <si>
    <t>revisão de artrodese / tratamento cirurgico  de pseudoartrose da coluna  toraco-lombo-sacra anterior</t>
  </si>
  <si>
    <t>040803062-3</t>
  </si>
  <si>
    <t>revisão de artrodese / tratamento cirurgico  de pseudoartrose da coluna  cervical posterior</t>
  </si>
  <si>
    <t>Total</t>
  </si>
  <si>
    <t>040803063-1</t>
  </si>
  <si>
    <t>revisão de artrodese / tratamento cirurgico  de pseudoartrose da coluna  toraco-lombo-sacra posterior</t>
  </si>
  <si>
    <t>0408030380</t>
  </si>
  <si>
    <t>0403020115</t>
  </si>
  <si>
    <t>040803064-0</t>
  </si>
  <si>
    <t>revisão de artrodese / tratamento cirurgico  de pseudoartrose da coluna  cervical anterior</t>
  </si>
  <si>
    <t>040803065-8</t>
  </si>
  <si>
    <t>tratamento cirurgico  de deformidade da coluna  via antero - posterior  9 ou mais niveis</t>
  </si>
  <si>
    <t>040803066-6</t>
  </si>
  <si>
    <t xml:space="preserve">tratamento cirurgico  de deformidade da coluna via anterior 8 niveis </t>
  </si>
  <si>
    <t>0408030542</t>
  </si>
  <si>
    <t>040803067-4</t>
  </si>
  <si>
    <t xml:space="preserve">tratamento cirurgico  de deformidade da coluna  via anterior 4 niveis </t>
  </si>
  <si>
    <t>040803068-2</t>
  </si>
  <si>
    <t xml:space="preserve">tratamento cirurgico  de deformidade da coluna  via anterior 5 niveis </t>
  </si>
  <si>
    <t>040803069-0</t>
  </si>
  <si>
    <t xml:space="preserve">tratamento cirurgico  de deformidade da coluna  via anterior posterior até  8 niveis </t>
  </si>
  <si>
    <t>040803070-4</t>
  </si>
  <si>
    <t>vertebroplastia  por dispositivo guiado em 1 nivel</t>
  </si>
  <si>
    <t>040803071-2</t>
  </si>
  <si>
    <t xml:space="preserve">tratamento cirurgico  de deformidade da coluna   via anterior 6 niveis </t>
  </si>
  <si>
    <t>040803072-0</t>
  </si>
  <si>
    <t xml:space="preserve">tratamento cirurgico  de deformidade da coluna via anterior 7 niveis </t>
  </si>
  <si>
    <t>040803073-9</t>
  </si>
  <si>
    <t xml:space="preserve">tratamento cirurgico  de deformidade da coluna via posterior 8 niveis </t>
  </si>
  <si>
    <t>040803074-7</t>
  </si>
  <si>
    <t xml:space="preserve"> tratamento cirurgico de fratura C1-C2 por via anterior (osteossintese)</t>
  </si>
  <si>
    <t>040803075-5</t>
  </si>
  <si>
    <t>tratamento cirurgico de torcicolo congenito</t>
  </si>
  <si>
    <t>040803076-3</t>
  </si>
  <si>
    <t xml:space="preserve">tratamento cirurgico  de deformidade da coluna  via  posterior  9 niveis </t>
  </si>
  <si>
    <t>040803077-1</t>
  </si>
  <si>
    <t>tratamento cirurgico descompressivo  ao nivel do defiladeiro  toraxico</t>
  </si>
  <si>
    <t>040803078-0</t>
  </si>
  <si>
    <t>vertebroplastia  por dispositivo guiado em 2 niveis</t>
  </si>
  <si>
    <t>040803079-8</t>
  </si>
  <si>
    <t>vertebroplastia  por dispositivo guiado em 3 niveis</t>
  </si>
  <si>
    <t>040803080-1</t>
  </si>
  <si>
    <t xml:space="preserve">tratamento cirurgico  de deformidade da coluna via posterior 12 niveis ou mais </t>
  </si>
  <si>
    <t>040803081-0</t>
  </si>
  <si>
    <t>tratamento cirurgico  de deformidade da coluna via posterior 10 niveis</t>
  </si>
  <si>
    <t>040803082-8</t>
  </si>
  <si>
    <t>tratamento cirurgico  de deformidade da coluna via posterior 11 niveis</t>
  </si>
  <si>
    <t/>
  </si>
  <si>
    <t>040803083-6</t>
  </si>
  <si>
    <t>tratamento cirurgico  de deformidade da coluna via anterior  2 niveis</t>
  </si>
  <si>
    <t>040803084-4</t>
  </si>
  <si>
    <t>tratamento cirurgico  de deformidade da coluna via anterior  3 niveis</t>
  </si>
  <si>
    <t>TOTAL</t>
  </si>
  <si>
    <t>040803085-2</t>
  </si>
  <si>
    <t>tratamento cirurgico  de deformidade da coluna via posterior 5 niveis</t>
  </si>
  <si>
    <t>040803086-0</t>
  </si>
  <si>
    <t>tratamento cirurgico  de deformidade da coluna via posterior 6 niveis</t>
  </si>
  <si>
    <t>040803087-9</t>
  </si>
  <si>
    <t>tratamento cirurgico  de deformidade da coluna via posterior 3 niveis</t>
  </si>
  <si>
    <t>040803088-7</t>
  </si>
  <si>
    <t>040302001-8</t>
  </si>
  <si>
    <t>tratamento cirurgico  de deformidade da coluna via posterior 4 niveis</t>
  </si>
  <si>
    <t>enxerto microcirurgico  de nervo periferico ( 2 ou mais nervos)</t>
  </si>
  <si>
    <t>040803089-5</t>
  </si>
  <si>
    <t>tratamento cirurgico  de deformidade da coluna via posterior 2 niveis</t>
  </si>
  <si>
    <t>040803090-9</t>
  </si>
  <si>
    <t>tratamento cirurgico  de deformidade da coluna via posterior 7 niveis</t>
  </si>
  <si>
    <t>040803091-7</t>
  </si>
  <si>
    <t xml:space="preserve">artrodese cervical /cervico toráxica posterior 4 niveis </t>
  </si>
  <si>
    <t>040302002-6</t>
  </si>
  <si>
    <t>enxerto microcirurgico  de nervo periferico ( unuco nervo)</t>
  </si>
  <si>
    <t>040302003-4</t>
  </si>
  <si>
    <t>microcirurgia de plexo braquial com exploração e neurolise</t>
  </si>
  <si>
    <t>040302004-2</t>
  </si>
  <si>
    <t>microcirurgia de plexo braquial com microenxertia</t>
  </si>
  <si>
    <t>040302005-0</t>
  </si>
  <si>
    <t>microneurolise de nervo periferico</t>
  </si>
  <si>
    <t>040302006-9</t>
  </si>
  <si>
    <t>microneurrafia</t>
  </si>
  <si>
    <t>JAILSON DE JESUS NUNES</t>
  </si>
  <si>
    <t>0408030917</t>
  </si>
  <si>
    <t>040302007-7</t>
  </si>
  <si>
    <t>neurolise não funcional de nervos  perifericos</t>
  </si>
  <si>
    <t>040302008-5</t>
  </si>
  <si>
    <t>neurorrafia</t>
  </si>
  <si>
    <t>0403010250</t>
  </si>
  <si>
    <t>040302009-3</t>
  </si>
  <si>
    <t>neurotomia seletiva  de trigemeo e outors nervos cranianos</t>
  </si>
  <si>
    <t>040302010-7</t>
  </si>
  <si>
    <t>transposição do nervo cubital</t>
  </si>
  <si>
    <t>040302011-5</t>
  </si>
  <si>
    <t>tratamento cirurgico  de neuropatia compressiva com ou sem microcirurgia</t>
  </si>
  <si>
    <t>040302012-3</t>
  </si>
  <si>
    <t>tratamento cirurgico  de sindrome compressiva de tunel osteo-fibroso ao nivel carpo</t>
  </si>
  <si>
    <t>040302013-1</t>
  </si>
  <si>
    <t xml:space="preserve">tratamento microcirurgico de tumor de nervo periferico /neuroma </t>
  </si>
  <si>
    <t>0408030534</t>
  </si>
  <si>
    <t>MOISANE DE OLIVERIA COSTA</t>
  </si>
  <si>
    <t>0403010101</t>
  </si>
  <si>
    <t>0403010365</t>
  </si>
  <si>
    <t>040303001-3</t>
  </si>
  <si>
    <t>Craniotomia para biopsia encefálica</t>
  </si>
  <si>
    <t>ALBERTO CASTRO DOS SANTOS</t>
  </si>
  <si>
    <t>0403010314</t>
  </si>
  <si>
    <t>0403010020</t>
  </si>
  <si>
    <t>040303002-1</t>
  </si>
  <si>
    <t>Craniotomia para biopsia encefálica com técnica complementar</t>
  </si>
  <si>
    <t>040303003-0</t>
  </si>
  <si>
    <t>Craniotomia para retirada de tumor cerebral inclusivo da fossa posterior</t>
  </si>
  <si>
    <t>040303004-8</t>
  </si>
  <si>
    <t>Craniotomia para retirada de tumor intracraniano</t>
  </si>
  <si>
    <t>JOSE HENRIQUE COSTA SOUZA</t>
  </si>
  <si>
    <t>0403010241</t>
  </si>
  <si>
    <t>040304001-9</t>
  </si>
  <si>
    <t>anstomose vascular extras/intracraniana</t>
  </si>
  <si>
    <t>040304002-7</t>
  </si>
  <si>
    <t>descomprenssão neurovascular de nervos cranianos</t>
  </si>
  <si>
    <t>040303005-6</t>
  </si>
  <si>
    <t xml:space="preserve">Craniotomia por tumor osseo </t>
  </si>
  <si>
    <t>040304005-1</t>
  </si>
  <si>
    <t>microcirurgia para malformação arterio-venosa cerebral</t>
  </si>
  <si>
    <t>040303006-4</t>
  </si>
  <si>
    <t>hipofisectomia transesfenoidal por   técnica complementar</t>
  </si>
  <si>
    <t>040304006-0</t>
  </si>
  <si>
    <t>microcirurgia para malformação arterio-venosa cerebral profunda</t>
  </si>
  <si>
    <t>040303008-0</t>
  </si>
  <si>
    <t>040304007-8</t>
  </si>
  <si>
    <t>microcirurgia de tumor  intradural e extramedular</t>
  </si>
  <si>
    <t>microcirurgia vascular  intracraniana (com tecnica complementar)</t>
  </si>
  <si>
    <t>040303009-9</t>
  </si>
  <si>
    <t>microcirurgia de tumor medular    técnica complementar</t>
  </si>
  <si>
    <t>040304008-6</t>
  </si>
  <si>
    <t>tratamento cirurgico  de fistula carotideo-cavernosa</t>
  </si>
  <si>
    <t>040303010-2</t>
  </si>
  <si>
    <t xml:space="preserve">microcirurgia de tumor medular    </t>
  </si>
  <si>
    <t>040304009-4</t>
  </si>
  <si>
    <t>microcirurgia  para aneurisma da circulaço cerebral anterior maior que 1,5 cm</t>
  </si>
  <si>
    <t>040303011-0</t>
  </si>
  <si>
    <t>Microcirurgia para biopsia demedula espinhal ou raizaes</t>
  </si>
  <si>
    <t>040304010-8</t>
  </si>
  <si>
    <t>microcirurgia  para aneurisma da circulaço cerebral posterior maior que 1,5 cm</t>
  </si>
  <si>
    <t>040303012-9</t>
  </si>
  <si>
    <t>microcirurgia de tumor de base do cranio</t>
  </si>
  <si>
    <t>040304011-6</t>
  </si>
  <si>
    <t>microcirurgia  para aneurisma da circulaço cerebral anterior menor  que 1,5 cm</t>
  </si>
  <si>
    <t>040303013-7</t>
  </si>
  <si>
    <t>microcirurgia de tumor de orbita</t>
  </si>
  <si>
    <t>0403010284</t>
  </si>
  <si>
    <t>040304012-4</t>
  </si>
  <si>
    <t>040303014-5</t>
  </si>
  <si>
    <t>microcirurgia  para aneurisma da circulaço cerebral posterior menor  que 1,5 cm</t>
  </si>
  <si>
    <t xml:space="preserve">Microcirurgia para tumor intracraniano </t>
  </si>
  <si>
    <t>040303015-3</t>
  </si>
  <si>
    <t>Microcirurgia para tumor intracraniano (com tecnica complementar)</t>
  </si>
  <si>
    <t>040303016-1</t>
  </si>
  <si>
    <t>ressecção de tumor raquimedular e extradural</t>
  </si>
  <si>
    <t>GIZELA SANTOS AMPAIO</t>
  </si>
  <si>
    <t>0403010187</t>
  </si>
  <si>
    <t>0403010098</t>
  </si>
  <si>
    <t>FIRMINA BATISTA</t>
  </si>
  <si>
    <t>0408030267</t>
  </si>
  <si>
    <t>040305001-4</t>
  </si>
  <si>
    <t>JUCINEIDE DOS SANTOS SILVA</t>
  </si>
  <si>
    <t>0403030099</t>
  </si>
  <si>
    <t>alcoolizaçõa de nervo craniano</t>
  </si>
  <si>
    <t>040305002-2</t>
  </si>
  <si>
    <t>neurolise de trigemeo com glicerol</t>
  </si>
  <si>
    <t>040305003-0</t>
  </si>
  <si>
    <t>bloqueios prolongados de sistema nervoso perferico / central com bomba de infusão</t>
  </si>
  <si>
    <t>040305004-9</t>
  </si>
  <si>
    <t>cordotomia /mielotomia por radiofrequencia</t>
  </si>
  <si>
    <t>040305005-7</t>
  </si>
  <si>
    <t>implante intratecal de bomba de infusão de farmacos</t>
  </si>
  <si>
    <t>040305006-5</t>
  </si>
  <si>
    <t>microcirurgia com cordotomia /mielotomia a ceu aberto</t>
  </si>
  <si>
    <t>040305007-3</t>
  </si>
  <si>
    <t>microcirurgia com rizotomia a ceu aberto</t>
  </si>
  <si>
    <t>040305008-1</t>
  </si>
  <si>
    <t>neurotomia percutanea de nervos perofericos por agentes quimicos</t>
  </si>
  <si>
    <t>040305009-0</t>
  </si>
  <si>
    <t>rizotomia percutanea com balão</t>
  </si>
  <si>
    <t xml:space="preserve">JOSE BISPO </t>
  </si>
  <si>
    <t>040305010-3</t>
  </si>
  <si>
    <t>0408030100</t>
  </si>
  <si>
    <t>rizotomia /neurotomia percutanea por radiofrequencia</t>
  </si>
  <si>
    <t>040305011-1</t>
  </si>
  <si>
    <t>simpatectomia lombar a ceu berto</t>
  </si>
  <si>
    <t>040305012-0</t>
  </si>
  <si>
    <t>simpatectomia lombar  videocirurgica</t>
  </si>
  <si>
    <t>0408030640</t>
  </si>
  <si>
    <t>040305013-8</t>
  </si>
  <si>
    <t>simpatectomia toracica a ceu berto</t>
  </si>
  <si>
    <t>040305014-6</t>
  </si>
  <si>
    <t>simpatectomia toracica  videocirurgica</t>
  </si>
  <si>
    <t>0408030518</t>
  </si>
  <si>
    <t>040305015-4</t>
  </si>
  <si>
    <t>tratamento de lesão do sistema neurovegetativo por agentes quimicos</t>
  </si>
  <si>
    <t>040305016-2</t>
  </si>
  <si>
    <t>tratamento ablativo por estereotaxia  em estrutura profunca de snc para tratamento de movimentos anormais ou controle da dor</t>
  </si>
  <si>
    <t xml:space="preserve">GERSON DOS SANTOS BASTOS </t>
  </si>
  <si>
    <t>0403010195</t>
  </si>
  <si>
    <t>0403010179</t>
  </si>
  <si>
    <t>DILMARCI BRANDÃO DE OLIVEIRA</t>
  </si>
  <si>
    <t>0403020018</t>
  </si>
  <si>
    <t>0403020042</t>
  </si>
  <si>
    <t>0403020069</t>
  </si>
  <si>
    <t xml:space="preserve">OUTROS CODIGOS </t>
  </si>
  <si>
    <t>0403020050</t>
  </si>
  <si>
    <t xml:space="preserve">SILVIO PEREIRA GOMES </t>
  </si>
  <si>
    <t>0303040041</t>
  </si>
  <si>
    <t>JOSEILDA LIRA DA SILVA</t>
  </si>
  <si>
    <t>0403030129</t>
  </si>
  <si>
    <t>PROVA DE  CALCULOS</t>
  </si>
  <si>
    <t>040806062-0</t>
  </si>
  <si>
    <t>Tratamento cirurgico de infecções pós artroplastia (grandes articulações)</t>
  </si>
  <si>
    <t>0403010144</t>
  </si>
  <si>
    <t>0403030048</t>
  </si>
  <si>
    <t>IG JOSE KLEBIO DE ALMEIDA SOUZA</t>
  </si>
  <si>
    <t>041504003-5</t>
  </si>
  <si>
    <t>Debridamento de ulcera/ de tecidos desvitalizados</t>
  </si>
  <si>
    <t>GERAL</t>
  </si>
  <si>
    <t>040806037-9</t>
  </si>
  <si>
    <t>Retirada de placa e/ou parafusos</t>
  </si>
  <si>
    <t>020101013-5</t>
  </si>
  <si>
    <t>Biopsia de copro vertebral lamina e pediculo vertebral ( por dispositivo guiado)</t>
  </si>
  <si>
    <t>040804021-1</t>
  </si>
  <si>
    <t>Retirada de enxerto autógeno de ilíaco</t>
  </si>
  <si>
    <t>MARICLEIDE LINARD DE LIMA DE PAULA</t>
  </si>
  <si>
    <t>0403040116</t>
  </si>
  <si>
    <t>040306008-7</t>
  </si>
  <si>
    <t>Microcirurgia para ressecção unilobar extratemporal sem monitoramentointra-operatório</t>
  </si>
  <si>
    <t>020101025-9</t>
  </si>
  <si>
    <t>Biopsia  de lamin pediculo e processos vertebrais</t>
  </si>
  <si>
    <t>040806004-2</t>
  </si>
  <si>
    <t>amputação/ desarticulação de deo</t>
  </si>
  <si>
    <t>040806009-3</t>
  </si>
  <si>
    <t>descompressão com esvaziamento medular por brocagem/via corticotomia</t>
  </si>
  <si>
    <t>amputação/ desarticulação de dedo</t>
  </si>
  <si>
    <t xml:space="preserve">041204016-6 </t>
  </si>
  <si>
    <t>TORACOSTOMIA COM DRENAGEM PLEURAL FECHADA</t>
  </si>
  <si>
    <t xml:space="preserve">041304017-8 </t>
  </si>
  <si>
    <t>TRATAMENTO CIRURGICO DE LESOES EXTENSAS C/ PERDA DE SUBSTANCIA CUTANEA</t>
  </si>
  <si>
    <t xml:space="preserve">040802036-9 </t>
  </si>
  <si>
    <t>TRATAMENTO CIRÚRGICO DE FRATURA / LESÃO FISARIA DO CÔNDILO / TRÓCLEA/APOFISE CORONÓIDE DO ULNA / CABEÇA DO RÁDIO</t>
  </si>
  <si>
    <t xml:space="preserve">040804003-3 </t>
  </si>
  <si>
    <t>ARTRODESE DE ARTICULAÇÕES SACROILIACAS</t>
  </si>
  <si>
    <t xml:space="preserve">041501001-2 </t>
  </si>
  <si>
    <t>TRATAMENTO C/ CIRURGIAS MULTIPLAS---TIPO III</t>
  </si>
  <si>
    <t>VALDIREI DIAS DA ROCHA</t>
  </si>
  <si>
    <t>040805008-0</t>
  </si>
  <si>
    <t xml:space="preserve"> FASCIOTOMIA DE MEMBROS INFERIORES</t>
  </si>
  <si>
    <t>040401037-7</t>
  </si>
  <si>
    <t>TRAQUEOSTOMIA</t>
  </si>
  <si>
    <t>040102010-0</t>
  </si>
  <si>
    <t>Extiparção e supressão de lesão de pele de tecido celular subcutâneo</t>
  </si>
  <si>
    <t>040805050-0</t>
  </si>
  <si>
    <t>TRATAMENTO CIRÚRGICO DE FRATURA DIAFISE DA TIBIA</t>
  </si>
  <si>
    <t xml:space="preserve">POR QUANTIDADE DE CODIGO </t>
  </si>
  <si>
    <t>040602059-0</t>
  </si>
  <si>
    <t>Trombectomia do sistema venoso</t>
  </si>
  <si>
    <t>021001011-8</t>
  </si>
  <si>
    <t xml:space="preserve">Arteriografia para investigação de isquemia cerebral </t>
  </si>
  <si>
    <t>040306005-2</t>
  </si>
  <si>
    <t>Microcirurgia para Lobectomia Temporal/Amigdalo - Hipocampectomia Seletivo</t>
  </si>
  <si>
    <t>040602049-3</t>
  </si>
  <si>
    <t>Tratamento Cirurgico de Lesões Vasculares Traumaticas da Região Cervical</t>
  </si>
  <si>
    <t>040704016-1</t>
  </si>
  <si>
    <t>LAPAROTOMIA EXPLORADORA</t>
  </si>
  <si>
    <t>TTO  lesão do Sist.  neurovegetativo p/ ag. quimicos</t>
  </si>
  <si>
    <t>040806014-0</t>
  </si>
  <si>
    <t>FASCIOTOMIA</t>
  </si>
  <si>
    <t>040806031-0</t>
  </si>
  <si>
    <t xml:space="preserve">Resseccção Simples de Tumor Osseo / de partes moles </t>
  </si>
  <si>
    <t>040306004-4</t>
  </si>
  <si>
    <t>Microcirurgia para Lesionectomia sem Monitoramento Intra-Operatório</t>
  </si>
  <si>
    <t>040402051-8</t>
  </si>
  <si>
    <t>Osteossintese de Fratura Complexa da Mandibula</t>
  </si>
  <si>
    <t>040901008-1</t>
  </si>
  <si>
    <t>CISTORRAFIA</t>
  </si>
  <si>
    <t>040802034-2</t>
  </si>
  <si>
    <t>Tratamento cirurgico de fratura/lesão fisaria das falanges da mão (com fixação)</t>
  </si>
  <si>
    <t>040805054-3</t>
  </si>
  <si>
    <t>Tratamento cirurgico de fratura do pilão tibial</t>
  </si>
  <si>
    <t>ANDRADE DE NOVAIS SANTOS</t>
  </si>
  <si>
    <t>040402052-6</t>
  </si>
  <si>
    <t>Osteossintese de Fratura do Complexo orbito-zigomatico-maxilar</t>
  </si>
  <si>
    <t>040602016-7</t>
  </si>
  <si>
    <t>FASCIOTOMIA P/ DESCOMPRESSÃO</t>
  </si>
  <si>
    <t>040102002-9</t>
  </si>
  <si>
    <t>Enxerto  Dermo-Epidérmico</t>
  </si>
  <si>
    <t>Ressecção Simple de Tumor Ósseo/ de partes moles</t>
  </si>
  <si>
    <t>040806034-4</t>
  </si>
  <si>
    <t>RETIRADA  DE ESPAÇADORE/E OUTROS MATERIAIS</t>
  </si>
  <si>
    <t>040401051-2</t>
  </si>
  <si>
    <t>SINUSOTOMIA TRANSMAXILAR</t>
  </si>
  <si>
    <t>COSTO - TRANSVERSECTOMIA</t>
  </si>
  <si>
    <t>040703012-3</t>
  </si>
  <si>
    <t>ESPLENECTOMIA</t>
  </si>
  <si>
    <t>040602012-4</t>
  </si>
  <si>
    <t>Embolectomia Arterial</t>
  </si>
  <si>
    <t>MEDICOS</t>
  </si>
  <si>
    <t>040402013-5</t>
  </si>
  <si>
    <t>Exploração/Descompressão Total/Parcial do Nervo Facial</t>
  </si>
  <si>
    <t>0408030054</t>
  </si>
  <si>
    <t>040402039-9</t>
  </si>
  <si>
    <t>Tratamento Cirúrgica de Paralisia Facial (suspensão de hemiface)</t>
  </si>
  <si>
    <t>040501013-3</t>
  </si>
  <si>
    <t>Reconstituição Total de Palpebra</t>
  </si>
  <si>
    <t>040102005-3</t>
  </si>
  <si>
    <t>Excisão e Sutura de lesão na Pele com Plastica em Z ou Rotação de Retalho</t>
  </si>
  <si>
    <t>020101063-1</t>
  </si>
  <si>
    <t>Punção Lombar</t>
  </si>
  <si>
    <t>040306003-6</t>
  </si>
  <si>
    <t>Microcirurgia para Lesionectomia com  Monitoramento Intra-Operatório</t>
  </si>
  <si>
    <t>040306007-9</t>
  </si>
  <si>
    <t>Microcirurgia para ressecção unilobar extratemporal com monitoramentointra-operatório</t>
  </si>
  <si>
    <t>040306009-5</t>
  </si>
  <si>
    <t>Transecções Sub-Piais Multiplas em Areas Eloquentes</t>
  </si>
  <si>
    <t>040602015-9</t>
  </si>
  <si>
    <t>Exerese Ganglio Linfatico</t>
  </si>
  <si>
    <t>0303014009-7</t>
  </si>
  <si>
    <t xml:space="preserve">Tto de hemorragias das vias respiratórias </t>
  </si>
  <si>
    <t>040402027-5</t>
  </si>
  <si>
    <t>Ressecção de Lesão Maligna e Benigna da Região Cranio e Bucomaxilial</t>
  </si>
  <si>
    <t>040806053-0</t>
  </si>
  <si>
    <t>Transposição /Transferência Miotendinosa Multipla</t>
  </si>
  <si>
    <t>041504002-7</t>
  </si>
  <si>
    <t>Debridamentode Fasceite Necrotizante</t>
  </si>
  <si>
    <t>040402003-8</t>
  </si>
  <si>
    <t>Correção cirurgica de fistula  oro- nasal / ori-sinusal</t>
  </si>
  <si>
    <t>020101026-7</t>
  </si>
  <si>
    <t>Biopsia de lesão de partes  moles (por agulha / ceu aberto)</t>
  </si>
  <si>
    <t>020101022-4</t>
  </si>
  <si>
    <t>Biopsia de Gaglio Linfatico</t>
  </si>
  <si>
    <t>030304004-1</t>
  </si>
  <si>
    <t>Tratamento Clinico de Abscesso Cerebral</t>
  </si>
  <si>
    <t>Procedimento</t>
  </si>
  <si>
    <t>ANTONIO  SIMOES DA CONCEIÇÃO</t>
  </si>
  <si>
    <t>PENDENCIAS JULHO 2026</t>
  </si>
  <si>
    <t>RAIMUNDO DOS SANTOS MORAES</t>
  </si>
  <si>
    <t>0403010012</t>
  </si>
  <si>
    <t>NEUROCIRUGIA</t>
  </si>
  <si>
    <t>UBIRAJARA RODRIGUES DE CARVALHO</t>
  </si>
  <si>
    <t>WAGNER HERCULANO</t>
  </si>
  <si>
    <t xml:space="preserve">ELINEUZA CERQUIRA DA SILVA </t>
  </si>
  <si>
    <t>LUIZ SOEIRO</t>
  </si>
  <si>
    <t>**teve cirurgia tb no dia 09/07 já ok</t>
  </si>
  <si>
    <t>RICARDO BRAGA VIANA</t>
  </si>
  <si>
    <t>ANGELO MARCIO DOS SNTOS LIMA</t>
  </si>
  <si>
    <t>**teve cirurgia tb no dia 11/07 já ok</t>
  </si>
  <si>
    <t>SIMONE DA SILVA</t>
  </si>
  <si>
    <t>MARIA ZULEIDE DOS SANTOS  NASCIMENTO</t>
  </si>
  <si>
    <t>CAMILA MOURA</t>
  </si>
  <si>
    <t>WELLINGTON ALVES DA SILVA</t>
  </si>
  <si>
    <t>0403010110</t>
  </si>
  <si>
    <t>CELIA MARIA PINTO DA SILVA</t>
  </si>
  <si>
    <t>PENDENCIAS MAIO 2026</t>
  </si>
  <si>
    <t>JUCINEY BARBOSA NDOS SANTOS</t>
  </si>
  <si>
    <t>CIRENIO RODRIGUES DE SOUZA</t>
  </si>
  <si>
    <t>EDUARDO VARJÃO</t>
  </si>
  <si>
    <t>MARCELO PEREIRA DA SILVA</t>
  </si>
  <si>
    <t>IOGO HENRIQUE</t>
  </si>
  <si>
    <t>TEREZINHA JESUS DE LIMA</t>
  </si>
  <si>
    <t>WELINGTON SIMOES LIMA</t>
  </si>
  <si>
    <t>MARIA FELICIA PEREIRA FIAES</t>
  </si>
  <si>
    <t>0403010292</t>
  </si>
  <si>
    <t>0403010268</t>
  </si>
  <si>
    <t>PEDRO HENRIQUE</t>
  </si>
  <si>
    <t>JAQUISSON GUIMARÃES</t>
  </si>
  <si>
    <t>30/052026</t>
  </si>
  <si>
    <t>31/052026</t>
  </si>
  <si>
    <t>MARIA DE LOURDES MATOS DE JESUS</t>
  </si>
  <si>
    <t xml:space="preserve">CICERO PEDRO DA SILVA </t>
  </si>
  <si>
    <t>EMILY MARLENE MACHADO</t>
  </si>
  <si>
    <t>0408030275</t>
  </si>
  <si>
    <t>IG ANGELO EMANUEL  SAMPAIO</t>
  </si>
  <si>
    <t>0403040078</t>
  </si>
  <si>
    <t xml:space="preserve">MARIA EUZEBIA DA COSTA </t>
  </si>
  <si>
    <t>0403010055</t>
  </si>
  <si>
    <t>JOSE FERREIRA DA SILVA</t>
  </si>
  <si>
    <t>MARIA FRANCO SANTA BARBARA</t>
  </si>
  <si>
    <t>0403010357</t>
  </si>
  <si>
    <t>LEONICE ESTEVA DE CERQUEIRA DE JESUS</t>
  </si>
  <si>
    <t>EMMANUEL BRITO DE OLIVEIRA</t>
  </si>
  <si>
    <t>0408030623</t>
  </si>
  <si>
    <t>VENCELENCIO PEREIRA MASCARENHAS</t>
  </si>
  <si>
    <t>0403010349</t>
  </si>
  <si>
    <t>ANISIO DANTAS COELHO</t>
  </si>
  <si>
    <t>0403010047</t>
  </si>
  <si>
    <t>ELINEUZA CERQUEIRA DA SILVA</t>
  </si>
  <si>
    <t>CL da dor</t>
  </si>
  <si>
    <t>ZACARIAS ANDRADE DA SILVA</t>
  </si>
  <si>
    <t>ANTONIO PINTO DE ALMEIDA</t>
  </si>
  <si>
    <t>0403010306</t>
  </si>
  <si>
    <t>EDINEY DE ARAUJO SOUZA</t>
  </si>
  <si>
    <t>LUIZ FELIPE DOS SANTOS BRITTO</t>
  </si>
  <si>
    <t>ODAIR JOSE CERQUEIRA OLIVEIRA</t>
  </si>
  <si>
    <t>0415040035</t>
  </si>
  <si>
    <t xml:space="preserve">PAULO CEZAR DE QUEIROZ </t>
  </si>
  <si>
    <t>ANGELINA  CARVALHO DE OLIVEIRA</t>
  </si>
  <si>
    <t>0403030153</t>
  </si>
  <si>
    <t>ANTONIO AUGUSTINHO CARNEIRO</t>
  </si>
  <si>
    <t>PACIENTE</t>
  </si>
  <si>
    <t>Valor pago</t>
  </si>
  <si>
    <t>DENILZO  ALMEIDA PEREIRA</t>
  </si>
  <si>
    <t>DENISE OLIVEIRA DE  DE ASSIS</t>
  </si>
  <si>
    <t>0408030445</t>
  </si>
  <si>
    <t>DIOGO GOMES COSTA</t>
  </si>
  <si>
    <t>0403020077</t>
  </si>
  <si>
    <t>DOUGLAS MOREIRA  DANTAS  DA ISLVA</t>
  </si>
  <si>
    <t>EDIJANE ROZA RIBEIRO</t>
  </si>
  <si>
    <t>EDILSON EVANGELISTA FERREIRA  DOS SANTOS</t>
  </si>
  <si>
    <t>FELIPE SILVA DOS SANTOS</t>
  </si>
  <si>
    <t>GIVANILDO  DE JESUS CARVALHO</t>
  </si>
  <si>
    <t xml:space="preserve">HONORINO SALES DA CONCEIÇÃO </t>
  </si>
  <si>
    <t>0403010136</t>
  </si>
  <si>
    <t>0408030020</t>
  </si>
  <si>
    <t>0408030364</t>
  </si>
  <si>
    <t>IG ROMILSON ALVES SANTOS</t>
  </si>
  <si>
    <t>0403010276</t>
  </si>
  <si>
    <t>Feira de Santana, 21 MARÇO de 2024.</t>
  </si>
  <si>
    <t>IVANILDES DOS SANTOS SOUZA</t>
  </si>
  <si>
    <t>Relatório de pacientes que realizaram neurocirurgia no HGCA em MARÇO 2024</t>
  </si>
  <si>
    <t>Nº</t>
  </si>
  <si>
    <t>JILVAN VITORIA  DOS SANTOS</t>
  </si>
  <si>
    <t>Nome</t>
  </si>
  <si>
    <t>OBSERVAÇÃO</t>
  </si>
  <si>
    <t>JOÃO DE DEUS DE CARVALHO</t>
  </si>
  <si>
    <t>regular para lançar na fatura de março pois IH  com da data 01/03/2024</t>
  </si>
  <si>
    <t>JUTANY  RANGEL  COUTINHO</t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</si>
  <si>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°41</t>
    </r>
  </si>
  <si>
    <t>LUCIDALVA FONSECA ARAGÃO</t>
  </si>
  <si>
    <t>MARIA SÃO PEDRO PERERIA DA CRUZ</t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</si>
  <si>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°42</t>
    </r>
  </si>
  <si>
    <t>MARIA DE LOURDES LOPES DOS SANTOS OLIVEIRA</t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</si>
  <si>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°45</t>
    </r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</si>
  <si>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°44</t>
    </r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</si>
  <si>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°43</t>
    </r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</si>
  <si>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°46</t>
    </r>
  </si>
  <si>
    <t xml:space="preserve">MARIA SILVA DE JESUS </t>
  </si>
  <si>
    <t>0403040027</t>
  </si>
  <si>
    <t>LUCIANA DE JESUS RIBEIRO</t>
  </si>
  <si>
    <t>PEDRO BARBOSA DA SILVA FILHO</t>
  </si>
  <si>
    <t>0403030161</t>
  </si>
  <si>
    <t>POLICARPO PAULINO DE OLIVEIRA</t>
  </si>
  <si>
    <t>IRACY SANTOS SILVA</t>
  </si>
  <si>
    <t>IRACY DA CRUZ SOUZA</t>
  </si>
  <si>
    <t>LETYCIA  KEVELLYN DA SILVA SANTOS</t>
  </si>
  <si>
    <t>REGINALDO DO ESPEIRITO SANTO ASSUNÇÃO</t>
  </si>
  <si>
    <t>ALESANDRA GONÇALVES DE OLIVEIRA RIOS</t>
  </si>
  <si>
    <t>ADMARIO AMORIM DA SILVA</t>
  </si>
  <si>
    <t>NILZA AMORIM AQUINO</t>
  </si>
  <si>
    <t>TEREZINHA TIMOTEO DO ROSARIO MATIAS</t>
  </si>
  <si>
    <t>0408030283</t>
  </si>
  <si>
    <t>VALMIR  JESUS  DA SILVA</t>
  </si>
  <si>
    <r>
      <rPr>
        <rFont val="Calibri"/>
        <color theme="1"/>
        <sz val="11.0"/>
      </rPr>
      <t>já lançado e cobrado na fatura de fevereiro n</t>
    </r>
    <r>
      <rPr>
        <rFont val="Calibri"/>
        <color theme="1"/>
        <sz val="11.0"/>
      </rPr>
      <t>°57</t>
    </r>
  </si>
  <si>
    <r>
      <rPr>
        <rFont val="Calibri"/>
        <color theme="1"/>
        <sz val="11.0"/>
      </rPr>
      <t>já lançado e cobrado na fatura de janeiro n</t>
    </r>
    <r>
      <rPr>
        <rFont val="Calibri"/>
        <color theme="1"/>
        <sz val="11.0"/>
      </rPr>
      <t>°19</t>
    </r>
  </si>
  <si>
    <t>VANDERLITO RIBEIRO  DOS SANTOS</t>
  </si>
  <si>
    <r>
      <rPr>
        <rFont val="Calibri"/>
        <color theme="1"/>
        <sz val="11.0"/>
      </rPr>
      <t>já lançado e cobrado na fatura de janeiro n</t>
    </r>
    <r>
      <rPr>
        <rFont val="Calibri"/>
        <color theme="1"/>
        <sz val="11.0"/>
      </rPr>
      <t>°84</t>
    </r>
  </si>
  <si>
    <t>paciente da VASCULAR</t>
  </si>
  <si>
    <t>ANTONIO CARLOS DOS ANJOS SOUZA</t>
  </si>
  <si>
    <t>0408030429</t>
  </si>
  <si>
    <t>0408030070</t>
  </si>
  <si>
    <t>Feira de Santana, 07 ABRIL de 2024.</t>
  </si>
  <si>
    <t xml:space="preserve">MEDICO </t>
  </si>
  <si>
    <t xml:space="preserve">EDIJANE ROZA RIBEIRO </t>
  </si>
  <si>
    <t xml:space="preserve">BISPO MOREIRA DA SILVA </t>
  </si>
  <si>
    <t>SEM DOSSIÊ</t>
  </si>
  <si>
    <t>JAIME DE JESUS SILVA</t>
  </si>
  <si>
    <t>ALLAN FRANÇA</t>
  </si>
  <si>
    <t>ANA RITA LOPES DE OLIVEIRA FONSECA</t>
  </si>
  <si>
    <t>DOUGLAS TRAVASSOS</t>
  </si>
  <si>
    <t>0403030021</t>
  </si>
  <si>
    <t>GABRIEL DE OLIVEIRA SILVA</t>
  </si>
  <si>
    <t>HORINO SALES DA CONCEIÇÃO</t>
  </si>
  <si>
    <t>ANA PAULA OLIVEIRA DOS SANTOS</t>
  </si>
  <si>
    <t>DAIANA DA ROCHA SILVA</t>
  </si>
  <si>
    <t>BERNARDINO JOSE DOSA SANTOS NETO</t>
  </si>
  <si>
    <t>ANTONIO GUTEMBERG</t>
  </si>
  <si>
    <t>ARNALDO NUNES</t>
  </si>
  <si>
    <t xml:space="preserve">JAQUISSON GUIMARÃES </t>
  </si>
  <si>
    <t xml:space="preserve">IG CRISTIANO DE JESUS SILVA </t>
  </si>
  <si>
    <t>BRUNO DOS SANTOS PAZ</t>
  </si>
  <si>
    <t>AUSENTE NA FATURA NEURO</t>
  </si>
  <si>
    <t>AILTON SOUZA DE ALMEIDA</t>
  </si>
  <si>
    <t xml:space="preserve">MARIA HELENA DE JESUS </t>
  </si>
  <si>
    <t>EDITE PEREIRA DE OLIVEIRA AMARAL</t>
  </si>
  <si>
    <t>JORGE MIRANDA DE ARAUJO</t>
  </si>
  <si>
    <t>29/02/2024 para 01/03/2024</t>
  </si>
  <si>
    <t>0403030030</t>
  </si>
  <si>
    <t xml:space="preserve">MAIARA CAMILO DE OLIVEIRA </t>
  </si>
  <si>
    <t>19/03/20024</t>
  </si>
  <si>
    <t xml:space="preserve">RENAN DOS SANTOS SOARES </t>
  </si>
  <si>
    <t>EMMANUEL BRITO DE OLIVERIA</t>
  </si>
  <si>
    <t>0403030080</t>
  </si>
  <si>
    <t>FABRICIO LIMA</t>
  </si>
  <si>
    <t>GABRIELA DE SOUZA NASCIMENTO</t>
  </si>
  <si>
    <t>0403010390</t>
  </si>
  <si>
    <t>EDIMAR SIMOES DOS SANTOS</t>
  </si>
  <si>
    <t>IG ANAILSON  SOUZA MOREIRA</t>
  </si>
  <si>
    <t xml:space="preserve">eduardo </t>
  </si>
  <si>
    <t>RECEBIDO EM 06/12/2024</t>
  </si>
  <si>
    <t>DEVOLVIDO EM 09/12/2024</t>
  </si>
  <si>
    <t>IG MARIVALDO  FERREIRA DOS SANTOS</t>
  </si>
  <si>
    <t>C/OPME</t>
  </si>
  <si>
    <t>S/OPME</t>
  </si>
  <si>
    <t>MARIA DAS MERCES SOUZA</t>
  </si>
  <si>
    <t>MARIA NEIDE LOPES DA SILVA</t>
  </si>
  <si>
    <t>SANDRO TOURINHO DOS SANTOS</t>
  </si>
  <si>
    <t>não consta na lita de pendencias do mês</t>
  </si>
  <si>
    <t xml:space="preserve">ELINEUZA CERQUEIRA DA SILVA </t>
  </si>
  <si>
    <t xml:space="preserve">de novembro </t>
  </si>
  <si>
    <t>ANGELO MARCIO DOS SANTOS LIMA</t>
  </si>
  <si>
    <t>0403010128</t>
  </si>
  <si>
    <t>RECEBIDO EM 11/12/2024</t>
  </si>
  <si>
    <t>DEVOLVIDO EM 12/12/2024</t>
  </si>
  <si>
    <t>0403030137</t>
  </si>
  <si>
    <t>RECEBIDO EM 19/12/2024</t>
  </si>
  <si>
    <t>DEVOLVIDO EM 20/12/2024</t>
  </si>
  <si>
    <t>Total cirugias</t>
  </si>
  <si>
    <t>Total procedimentos</t>
  </si>
  <si>
    <t>TOTAL GERAL</t>
  </si>
  <si>
    <t>Carine de Souza Prazeres</t>
  </si>
  <si>
    <t>Matrícula:92186688</t>
  </si>
  <si>
    <t>Coordenadora SAME / Contas Hospitalares HGCA</t>
  </si>
  <si>
    <t>Avenida Eduardo Fróes da Mota, S/N, 35ºBI, Feira de Santana - BA</t>
  </si>
  <si>
    <t>C.N.P.J. (M.F) 13.937.131/0026-08 - Inscrição Estadual 70.745.597 Tel: (75) 3602-3300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</si>
</sst>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\ #,##0.00"/>
    <numFmt numFmtId="165" formatCode="&quot;R$&quot;\ #,##0.00;[Red]\-&quot;R$&quot;\ #,##0.00"/>
    <numFmt numFmtId="166" formatCode="&quot;R$&quot;\ #,##0.000;[Red]\-&quot;R$&quot;\ #,##0.000"/>
    <numFmt numFmtId="167" formatCode="00000"/>
  </numFmts>
  <fonts count="2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6.0"/>
      <color rgb="FF000000"/>
      <name val="Cambria"/>
    </font>
    <font>
      <sz val="16.0"/>
      <color theme="1"/>
      <name val="Cambria"/>
    </font>
    <font>
      <sz val="11.0"/>
      <color theme="1"/>
      <name val="Cambria"/>
    </font>
    <font>
      <sz val="12.0"/>
      <color rgb="FF000000"/>
      <name val="Times New Roman"/>
    </font>
    <font>
      <b/>
      <sz val="14.0"/>
      <color rgb="FF000000"/>
      <name val="Cambria"/>
    </font>
    <font>
      <b/>
      <sz val="11.0"/>
      <color theme="1"/>
      <name val="Calibri"/>
    </font>
    <font>
      <b/>
      <sz val="14.0"/>
      <color theme="1"/>
      <name val="Calibri"/>
    </font>
    <font>
      <b/>
      <sz val="11.0"/>
      <color rgb="FF000000"/>
      <name val="Times New Roman"/>
    </font>
    <font>
      <sz val="14.0"/>
      <color theme="1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6.0"/>
      <color theme="1"/>
      <name val="Calibri"/>
    </font>
    <font>
      <b/>
      <sz val="14.0"/>
      <color theme="0"/>
      <name val="Calibri"/>
    </font>
    <font>
      <sz val="11.0"/>
      <color rgb="FF000000"/>
      <name val="Calibri"/>
    </font>
    <font>
      <sz val="12.0"/>
      <color rgb="FF000000"/>
      <name val="Cambria"/>
    </font>
    <font>
      <b/>
      <sz val="11.0"/>
      <color rgb="FF000000"/>
      <name val="Cambria"/>
    </font>
    <font>
      <sz val="13.0"/>
      <color theme="1"/>
      <name val="Calibri"/>
    </font>
    <font>
      <sz val="9.0"/>
      <color theme="1"/>
      <name val="Calibri"/>
    </font>
    <font>
      <b/>
      <i/>
      <u/>
      <sz val="11.0"/>
      <color theme="1"/>
      <name val="Calibri"/>
    </font>
    <font>
      <b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8" numFmtId="164" xfId="0" applyAlignment="1" applyFont="1" applyNumberFormat="1">
      <alignment horizontal="center" vertical="center"/>
    </xf>
    <xf borderId="0" fillId="0" fontId="8" numFmtId="0" xfId="0" applyAlignment="1" applyFont="1">
      <alignment horizontal="right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1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1" fillId="2" fontId="9" numFmtId="0" xfId="0" applyBorder="1" applyFill="1" applyFont="1"/>
    <xf borderId="0" fillId="0" fontId="11" numFmtId="164" xfId="0" applyAlignment="1" applyFont="1" applyNumberFormat="1">
      <alignment horizontal="center" vertical="center"/>
    </xf>
    <xf borderId="1" fillId="3" fontId="8" numFmtId="0" xfId="0" applyAlignment="1" applyBorder="1" applyFill="1" applyFont="1">
      <alignment horizontal="center"/>
    </xf>
    <xf borderId="1" fillId="2" fontId="9" numFmtId="0" xfId="0" applyAlignment="1" applyBorder="1" applyFill="1" applyFont="1">
      <alignment vertical="center"/>
    </xf>
    <xf borderId="2" fillId="3" fontId="9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vertical="center"/>
    </xf>
    <xf borderId="1" fillId="2" fontId="9" numFmtId="0" xfId="0" applyAlignment="1" applyBorder="1" applyFill="1" applyFont="1">
      <alignment shrinkToFit="0" vertical="center" wrapText="1"/>
    </xf>
    <xf borderId="1" fillId="2" fontId="12" numFmtId="0" xfId="0" applyAlignment="1" applyBorder="1" applyFill="1" applyFont="1">
      <alignment shrinkToFit="0" vertical="center" wrapText="1"/>
    </xf>
    <xf borderId="1" fillId="3" fontId="9" numFmtId="0" xfId="0" applyAlignment="1" applyBorder="1" applyFill="1" applyFont="1">
      <alignment horizontal="center" vertical="center"/>
    </xf>
    <xf borderId="3" fillId="3" fontId="9" numFmtId="0" xfId="0" applyAlignment="1" applyBorder="1" applyFill="1" applyFont="1">
      <alignment horizontal="center" vertical="center"/>
    </xf>
    <xf borderId="3" fillId="3" fontId="9" numFmtId="164" xfId="0" applyAlignment="1" applyBorder="1" applyFill="1" applyFont="1" applyNumberFormat="1">
      <alignment horizontal="center" vertical="center"/>
    </xf>
    <xf borderId="4" fillId="3" fontId="9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165" xfId="0" applyBorder="1" applyFont="1" applyNumberFormat="1"/>
    <xf borderId="1" fillId="0" fontId="2" numFmtId="165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6" fillId="0" fontId="13" numFmtId="0" xfId="0" applyBorder="1" applyFont="1"/>
    <xf borderId="1" fillId="0" fontId="2" numFmtId="2" xfId="0" applyAlignment="1" applyBorder="1" applyFont="1" applyNumberFormat="1">
      <alignment vertical="center"/>
    </xf>
    <xf borderId="5" fillId="0" fontId="11" numFmtId="0" xfId="0" applyAlignment="1" applyBorder="1" applyFont="1">
      <alignment horizontal="center" vertical="center"/>
    </xf>
    <xf borderId="1" fillId="0" fontId="14" numFmtId="0" xfId="0" applyBorder="1" applyFont="1"/>
    <xf borderId="1" fillId="2" fontId="15" numFmtId="0" xfId="0" applyAlignment="1" applyBorder="1" applyFill="1" applyFont="1">
      <alignment vertical="center"/>
    </xf>
    <xf borderId="4" fillId="0" fontId="2" numFmtId="166" xfId="0" applyAlignment="1" applyBorder="1" applyFont="1" applyNumberFormat="1">
      <alignment vertical="center"/>
    </xf>
    <xf borderId="5" fillId="0" fontId="16" numFmtId="14" xfId="0" applyAlignment="1" applyBorder="1" applyFont="1" applyNumberFormat="1">
      <alignment horizontal="center" vertical="center"/>
    </xf>
    <xf borderId="1" fillId="0" fontId="2" numFmtId="0" xfId="0" applyBorder="1" applyFont="1"/>
    <xf borderId="1" fillId="2" fontId="8" numFmtId="0" xfId="0" applyAlignment="1" applyBorder="1" applyFill="1" applyFont="1">
      <alignment horizontal="center"/>
    </xf>
    <xf borderId="5" fillId="0" fontId="11" numFmtId="14" xfId="0" applyAlignment="1" applyBorder="1" applyFont="1" applyNumberFormat="1">
      <alignment horizontal="center" vertical="center"/>
    </xf>
    <xf borderId="1" fillId="0" fontId="2" numFmtId="164" xfId="0" applyBorder="1" applyFont="1" applyNumberFormat="1"/>
    <xf borderId="4" fillId="0" fontId="2" numFmtId="166" xfId="0" applyBorder="1" applyFont="1" applyNumberFormat="1"/>
    <xf borderId="1" fillId="2" fontId="8" numFmtId="165" xfId="0" applyBorder="1" applyFill="1" applyFont="1" applyNumberFormat="1"/>
    <xf borderId="1" fillId="0" fontId="11" numFmtId="0" xfId="0" applyAlignment="1" applyBorder="1" applyFont="1">
      <alignment horizontal="center" readingOrder="0" vertical="center"/>
    </xf>
    <xf borderId="4" fillId="0" fontId="2" numFmtId="165" xfId="0" applyAlignment="1" applyBorder="1" applyFont="1" applyNumberFormat="1">
      <alignment vertical="center"/>
    </xf>
    <xf borderId="7" fillId="4" fontId="8" numFmtId="0" xfId="0" applyBorder="1" applyFill="1" applyFont="1"/>
    <xf borderId="1" fillId="0" fontId="2" numFmtId="2" xfId="0" applyAlignment="1" applyBorder="1" applyFont="1" applyNumberFormat="1">
      <alignment shrinkToFit="0" vertical="center" wrapText="1"/>
    </xf>
    <xf borderId="1" fillId="0" fontId="11" numFmtId="0" xfId="0" applyAlignment="1" applyBorder="1" applyFont="1">
      <alignment horizontal="center" vertical="center"/>
    </xf>
    <xf borderId="5" fillId="0" fontId="2" numFmtId="165" xfId="0" applyAlignment="1" applyBorder="1" applyFont="1" applyNumberFormat="1">
      <alignment horizontal="right" vertical="center"/>
    </xf>
    <xf borderId="1" fillId="4" fontId="2" numFmtId="165" xfId="0" applyAlignment="1" applyBorder="1" applyFill="1" applyFont="1" applyNumberFormat="1">
      <alignment vertical="center"/>
    </xf>
    <xf borderId="1" fillId="0" fontId="11" numFmtId="164" xfId="0" applyAlignment="1" applyBorder="1" applyFont="1" applyNumberForma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1" fillId="4" fontId="14" numFmtId="0" xfId="0" applyBorder="1" applyFill="1" applyFont="1"/>
    <xf borderId="9" fillId="4" fontId="11" numFmtId="0" xfId="0" applyAlignment="1" applyBorder="1" applyFill="1" applyFont="1">
      <alignment horizontal="center" vertical="center"/>
    </xf>
    <xf borderId="7" fillId="4" fontId="2" numFmtId="0" xfId="0" applyBorder="1" applyFill="1" applyFont="1"/>
    <xf borderId="10" fillId="0" fontId="11" numFmtId="0" xfId="0" applyAlignment="1" applyBorder="1" applyFont="1">
      <alignment horizontal="center" vertical="center"/>
    </xf>
    <xf borderId="4" fillId="0" fontId="2" numFmtId="166" xfId="0" applyAlignment="1" applyBorder="1" applyFont="1" applyNumberFormat="1">
      <alignment horizontal="right" vertical="center"/>
    </xf>
    <xf borderId="11" fillId="4" fontId="11" numFmtId="14" xfId="0" applyAlignment="1" applyBorder="1" applyFill="1" applyFont="1" applyNumberFormat="1">
      <alignment horizontal="center" vertical="center"/>
    </xf>
    <xf borderId="11" fillId="4" fontId="11" numFmtId="0" xfId="0" applyAlignment="1" applyBorder="1" applyFill="1" applyFont="1">
      <alignment horizontal="center" vertical="center"/>
    </xf>
    <xf borderId="1" fillId="0" fontId="2" numFmtId="2" xfId="0" applyAlignment="1" applyBorder="1" applyFont="1" applyNumberFormat="1">
      <alignment horizontal="left" shrinkToFit="0" vertical="center" wrapText="1"/>
    </xf>
    <xf borderId="12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shrinkToFit="0" vertical="center" wrapText="1"/>
    </xf>
    <xf borderId="3" fillId="4" fontId="2" numFmtId="165" xfId="0" applyAlignment="1" applyBorder="1" applyFill="1" applyFont="1" applyNumberFormat="1">
      <alignment shrinkToFit="0" vertical="center" wrapText="1"/>
    </xf>
    <xf borderId="13" fillId="4" fontId="11" numFmtId="0" xfId="0" applyAlignment="1" applyBorder="1" applyFill="1" applyFont="1">
      <alignment horizontal="center" vertical="center"/>
    </xf>
    <xf borderId="14" fillId="0" fontId="11" numFmtId="14" xfId="0" applyAlignment="1" applyBorder="1" applyFont="1" applyNumberFormat="1">
      <alignment horizontal="center" vertical="center"/>
    </xf>
    <xf borderId="0" fillId="0" fontId="2" numFmtId="164" xfId="0" applyFont="1" applyNumberFormat="1"/>
    <xf borderId="1" fillId="3" fontId="2" numFmtId="0" xfId="0" applyAlignment="1" applyBorder="1" applyFill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" fillId="3" fontId="17" numFmtId="2" xfId="0" applyAlignment="1" applyBorder="1" applyFill="1" applyFont="1" applyNumberFormat="1">
      <alignment horizontal="center"/>
    </xf>
    <xf borderId="15" fillId="4" fontId="2" numFmtId="0" xfId="0" applyAlignment="1" applyBorder="1" applyFill="1" applyFont="1">
      <alignment horizontal="center" vertical="center"/>
    </xf>
    <xf borderId="5" fillId="0" fontId="2" numFmtId="165" xfId="0" applyAlignment="1" applyBorder="1" applyFont="1" applyNumberFormat="1">
      <alignment horizontal="right" shrinkToFit="0" vertical="center" wrapText="1"/>
    </xf>
    <xf borderId="3" fillId="3" fontId="8" numFmtId="0" xfId="0" applyBorder="1" applyFill="1" applyFont="1"/>
    <xf borderId="16" fillId="0" fontId="11" numFmtId="0" xfId="0" applyAlignment="1" applyBorder="1" applyFont="1">
      <alignment horizontal="center" vertical="center"/>
    </xf>
    <xf borderId="1" fillId="3" fontId="8" numFmtId="0" xfId="0" applyBorder="1" applyFill="1" applyFont="1"/>
    <xf borderId="1" fillId="0" fontId="2" numFmtId="165" xfId="0" applyAlignment="1" applyBorder="1" applyFont="1" applyNumberFormat="1">
      <alignment horizontal="right" shrinkToFit="0" vertical="center" wrapText="1"/>
    </xf>
    <xf borderId="17" fillId="4" fontId="11" numFmtId="14" xfId="0" applyAlignment="1" applyBorder="1" applyFill="1" applyFont="1" applyNumberFormat="1">
      <alignment horizontal="center" vertical="center"/>
    </xf>
    <xf borderId="1" fillId="3" fontId="8" numFmtId="164" xfId="0" applyBorder="1" applyFill="1" applyFont="1" applyNumberFormat="1"/>
    <xf borderId="18" fillId="4" fontId="2" numFmtId="0" xfId="0" applyAlignment="1" applyBorder="1" applyFill="1" applyFont="1">
      <alignment horizontal="center" vertical="center"/>
    </xf>
    <xf borderId="19" fillId="4" fontId="11" numFmtId="0" xfId="0" applyAlignment="1" applyBorder="1" applyFill="1" applyFont="1">
      <alignment horizontal="center" vertical="center"/>
    </xf>
    <xf borderId="18" fillId="3" fontId="11" numFmtId="0" xfId="0" applyAlignment="1" applyBorder="1" applyFill="1" applyFont="1">
      <alignment horizontal="center" vertical="center"/>
    </xf>
    <xf borderId="20" fillId="3" fontId="11" numFmtId="0" xfId="0" applyAlignment="1" applyBorder="1" applyFill="1" applyFont="1">
      <alignment horizontal="center" vertical="center"/>
    </xf>
    <xf borderId="21" fillId="3" fontId="11" numFmtId="0" xfId="0" applyAlignment="1" applyBorder="1" applyFill="1" applyFont="1">
      <alignment horizontal="center" vertical="center"/>
    </xf>
    <xf borderId="22" fillId="3" fontId="11" numFmtId="0" xfId="0" applyAlignment="1" applyBorder="1" applyFill="1" applyFont="1">
      <alignment horizontal="center" readingOrder="0" vertical="center"/>
    </xf>
    <xf borderId="1" fillId="3" fontId="11" numFmtId="164" xfId="0" applyAlignment="1" applyBorder="1" applyFill="1" applyFont="1" applyNumberForma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22" fillId="3" fontId="11" numFmtId="0" xfId="0" applyAlignment="1" applyBorder="1" applyFill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3" fillId="3" fontId="2" numFmtId="0" xfId="0" applyBorder="1" applyFill="1" applyFont="1"/>
    <xf borderId="1" fillId="0" fontId="11" numFmtId="2" xfId="0" applyAlignment="1" applyBorder="1" applyFont="1" applyNumberFormat="1">
      <alignment horizontal="center" vertical="center"/>
    </xf>
    <xf borderId="1" fillId="3" fontId="2" numFmtId="0" xfId="0" applyBorder="1" applyFill="1" applyFont="1"/>
    <xf borderId="1" fillId="3" fontId="8" numFmtId="165" xfId="0" applyBorder="1" applyFill="1" applyFont="1" applyNumberFormat="1"/>
    <xf borderId="1" fillId="3" fontId="2" numFmtId="164" xfId="0" applyBorder="1" applyFill="1" applyFont="1" applyNumberFormat="1"/>
    <xf borderId="7" fillId="4" fontId="2" numFmtId="0" xfId="0" applyAlignment="1" applyBorder="1" applyFill="1" applyFont="1">
      <alignment horizontal="center" vertical="center"/>
    </xf>
    <xf borderId="0" fillId="0" fontId="2" numFmtId="165" xfId="0" applyFont="1" applyNumberFormat="1"/>
    <xf borderId="3" fillId="3" fontId="11" numFmtId="0" xfId="0" applyAlignment="1" applyBorder="1" applyFill="1" applyFont="1">
      <alignment horizontal="center" vertical="center"/>
    </xf>
    <xf borderId="1" fillId="3" fontId="11" numFmtId="0" xfId="0" applyAlignment="1" applyBorder="1" applyFill="1" applyFont="1">
      <alignment horizontal="center" vertical="center"/>
    </xf>
    <xf borderId="2" fillId="4" fontId="11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shrinkToFit="0" wrapText="1"/>
    </xf>
    <xf borderId="1" fillId="4" fontId="2" numFmtId="2" xfId="0" applyAlignment="1" applyBorder="1" applyFill="1" applyFont="1" applyNumberFormat="1">
      <alignment shrinkToFit="0" vertical="center" wrapText="1"/>
    </xf>
    <xf borderId="23" fillId="0" fontId="11" numFmtId="14" xfId="0" applyAlignment="1" applyBorder="1" applyFont="1" applyNumberFormat="1">
      <alignment horizontal="center" vertical="center"/>
    </xf>
    <xf borderId="1" fillId="4" fontId="2" numFmtId="2" xfId="0" applyBorder="1" applyFill="1" applyFont="1" applyNumberFormat="1"/>
    <xf borderId="2" fillId="4" fontId="11" numFmtId="14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shrinkToFit="0" wrapText="1"/>
    </xf>
    <xf borderId="1" fillId="4" fontId="2" numFmtId="165" xfId="0" applyBorder="1" applyFill="1" applyFont="1" applyNumberFormat="1"/>
    <xf borderId="1" fillId="4" fontId="11" numFmtId="0" xfId="0" applyAlignment="1" applyBorder="1" applyFill="1" applyFont="1">
      <alignment horizontal="center" readingOrder="0" vertical="center"/>
    </xf>
    <xf borderId="1" fillId="4" fontId="11" numFmtId="2" xfId="0" applyAlignment="1" applyBorder="1" applyFill="1" applyFont="1" applyNumberFormat="1">
      <alignment horizontal="center" vertical="center"/>
    </xf>
    <xf borderId="1" fillId="4" fontId="11" numFmtId="164" xfId="0" applyAlignment="1" applyBorder="1" applyFill="1" applyFont="1" applyNumberFormat="1">
      <alignment horizontal="center" vertical="center"/>
    </xf>
    <xf borderId="0" fillId="0" fontId="2" numFmtId="16" xfId="0" applyAlignment="1" applyFont="1" applyNumberFormat="1">
      <alignment horizontal="center" vertical="center"/>
    </xf>
    <xf borderId="8" fillId="4" fontId="2" numFmtId="165" xfId="0" applyAlignment="1" applyBorder="1" applyFill="1" applyFont="1" applyNumberFormat="1">
      <alignment horizontal="center" vertical="center"/>
    </xf>
    <xf borderId="1" fillId="4" fontId="1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3" fontId="11" numFmtId="0" xfId="0" applyAlignment="1" applyBorder="1" applyFill="1" applyFont="1">
      <alignment horizontal="center" readingOrder="0" vertical="center"/>
    </xf>
    <xf borderId="12" fillId="0" fontId="2" numFmtId="165" xfId="0" applyAlignment="1" applyBorder="1" applyFont="1" applyNumberFormat="1">
      <alignment horizontal="center" vertical="center"/>
    </xf>
    <xf borderId="17" fillId="4" fontId="11" numFmtId="0" xfId="0" applyAlignment="1" applyBorder="1" applyFill="1" applyFont="1">
      <alignment horizontal="center" vertical="center"/>
    </xf>
    <xf borderId="0" fillId="0" fontId="6" numFmtId="164" xfId="0" applyAlignment="1" applyFont="1" applyNumberFormat="1">
      <alignment vertical="center"/>
    </xf>
    <xf borderId="2" fillId="5" fontId="18" numFmtId="0" xfId="0" applyBorder="1" applyFill="1" applyFont="1"/>
    <xf borderId="0" fillId="0" fontId="10" numFmtId="164" xfId="0" applyAlignment="1" applyFont="1" applyNumberFormat="1">
      <alignment vertical="center"/>
    </xf>
    <xf borderId="0" fillId="0" fontId="8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1" fillId="2" fontId="9" numFmtId="164" xfId="0" applyBorder="1" applyFill="1" applyFont="1" applyNumberFormat="1"/>
    <xf borderId="3" fillId="2" fontId="9" numFmtId="0" xfId="0" applyBorder="1" applyFill="1" applyFont="1"/>
    <xf borderId="0" fillId="0" fontId="1" numFmtId="0" xfId="0" applyFont="1"/>
    <xf borderId="1" fillId="0" fontId="2" numFmtId="164" xfId="0" applyAlignment="1" applyBorder="1" applyFont="1" applyNumberFormat="1">
      <alignment horizontal="right" vertical="center"/>
    </xf>
    <xf borderId="4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vertical="center"/>
    </xf>
    <xf borderId="7" fillId="6" fontId="8" numFmtId="0" xfId="0" applyBorder="1" applyFill="1" applyFont="1"/>
    <xf borderId="7" fillId="6" fontId="8" numFmtId="164" xfId="0" applyBorder="1" applyFill="1" applyFont="1" applyNumberFormat="1"/>
    <xf borderId="0" fillId="0" fontId="19" numFmtId="0" xfId="0" applyAlignment="1" applyFont="1">
      <alignment vertical="center"/>
    </xf>
    <xf borderId="0" fillId="0" fontId="11" numFmtId="14" xfId="0" applyAlignment="1" applyFont="1" applyNumberFormat="1">
      <alignment horizontal="center" vertical="center"/>
    </xf>
    <xf borderId="7" fillId="4" fontId="11" numFmtId="0" xfId="0" applyAlignment="1" applyBorder="1" applyFill="1" applyFont="1">
      <alignment horizontal="center" vertical="center"/>
    </xf>
    <xf borderId="7" fillId="4" fontId="11" numFmtId="14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/>
    </xf>
    <xf borderId="3" fillId="3" fontId="8" numFmtId="164" xfId="0" applyBorder="1" applyFill="1" applyFont="1" applyNumberFormat="1"/>
    <xf borderId="7" fillId="6" fontId="2" numFmtId="0" xfId="0" applyBorder="1" applyFill="1" applyFont="1"/>
    <xf borderId="0" fillId="0" fontId="9" numFmtId="14" xfId="0" applyAlignment="1" applyFont="1" applyNumberFormat="1">
      <alignment horizontal="center"/>
    </xf>
    <xf borderId="1" fillId="0" fontId="2" numFmtId="14" xfId="0" applyAlignment="1" applyBorder="1" applyFont="1" applyNumberFormat="1">
      <alignment horizontal="center" vertical="center"/>
    </xf>
    <xf borderId="5" fillId="0" fontId="2" numFmtId="14" xfId="0" applyAlignment="1" applyBorder="1" applyFont="1" applyNumberFormat="1">
      <alignment horizontal="left" vertical="center"/>
    </xf>
    <xf borderId="1" fillId="0" fontId="2" numFmtId="14" xfId="0" applyAlignment="1" applyBorder="1" applyFont="1" applyNumberFormat="1">
      <alignment horizontal="left" vertical="center"/>
    </xf>
    <xf borderId="7" fillId="6" fontId="2" numFmtId="0" xfId="0" applyAlignment="1" applyBorder="1" applyFill="1" applyFont="1">
      <alignment shrinkToFit="0" wrapText="1"/>
    </xf>
    <xf borderId="24" fillId="3" fontId="11" numFmtId="0" xfId="0" applyAlignment="1" applyBorder="1" applyFill="1" applyFont="1">
      <alignment horizontal="center" vertical="center"/>
    </xf>
    <xf borderId="1" fillId="0" fontId="2" numFmtId="14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left"/>
    </xf>
    <xf borderId="8" fillId="4" fontId="11" numFmtId="0" xfId="0" applyAlignment="1" applyBorder="1" applyFill="1" applyFont="1">
      <alignment horizontal="center" vertical="center"/>
    </xf>
    <xf borderId="1" fillId="0" fontId="2" numFmtId="165" xfId="0" applyAlignment="1" applyBorder="1" applyFont="1" applyNumberFormat="1">
      <alignment horizontal="center"/>
    </xf>
    <xf borderId="15" fillId="4" fontId="11" numFmtId="14" xfId="0" applyAlignment="1" applyBorder="1" applyFill="1" applyFont="1" applyNumberFormat="1">
      <alignment horizontal="center" vertical="center"/>
    </xf>
    <xf borderId="11" fillId="4" fontId="16" numFmtId="14" xfId="0" applyAlignment="1" applyBorder="1" applyFill="1" applyFont="1" applyNumberFormat="1">
      <alignment horizontal="center" vertical="center"/>
    </xf>
    <xf borderId="16" fillId="0" fontId="11" numFmtId="1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3" fillId="4" fontId="11" numFmtId="14" xfId="0" applyAlignment="1" applyBorder="1" applyFill="1" applyFont="1" applyNumberFormat="1">
      <alignment horizontal="center" vertical="center"/>
    </xf>
    <xf borderId="25" fillId="0" fontId="2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vertical="center"/>
    </xf>
    <xf borderId="5" fillId="0" fontId="2" numFmtId="14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2" fillId="4" fontId="2" numFmtId="14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4" fontId="16" numFmtId="14" xfId="0" applyAlignment="1" applyBorder="1" applyFill="1" applyFont="1" applyNumberFormat="1">
      <alignment horizontal="center" vertical="center"/>
    </xf>
    <xf borderId="2" fillId="4" fontId="14" numFmtId="14" xfId="0" applyAlignment="1" applyBorder="1" applyFill="1" applyFont="1" applyNumberFormat="1">
      <alignment horizontal="center" vertical="center"/>
    </xf>
    <xf borderId="0" fillId="0" fontId="20" numFmtId="0" xfId="0" applyAlignment="1" applyFont="1">
      <alignment vertical="center"/>
    </xf>
    <xf borderId="0" fillId="0" fontId="5" numFmtId="0" xfId="0" applyFont="1"/>
    <xf borderId="0" fillId="0" fontId="21" numFmtId="0" xfId="0" applyAlignment="1" applyFont="1">
      <alignment vertical="center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1" numFmtId="164" xfId="0" applyFont="1" applyNumberFormat="1"/>
    <xf borderId="26" fillId="3" fontId="2" numFmtId="0" xfId="0" applyAlignment="1" applyBorder="1" applyFill="1" applyFont="1">
      <alignment horizontal="center"/>
    </xf>
    <xf borderId="5" fillId="0" fontId="22" numFmtId="14" xfId="0" applyAlignment="1" applyBorder="1" applyFont="1" applyNumberFormat="1">
      <alignment horizontal="center" vertical="center"/>
    </xf>
    <xf borderId="26" fillId="3" fontId="8" numFmtId="0" xfId="0" applyAlignment="1" applyBorder="1" applyFill="1" applyFont="1">
      <alignment horizontal="left"/>
    </xf>
    <xf borderId="26" fillId="3" fontId="8" numFmtId="0" xfId="0" applyAlignment="1" applyBorder="1" applyFill="1" applyFont="1">
      <alignment horizontal="center"/>
    </xf>
    <xf borderId="14" fillId="0" fontId="2" numFmtId="0" xfId="0" applyAlignment="1" applyBorder="1" applyFont="1">
      <alignment horizontal="center" vertical="center"/>
    </xf>
    <xf borderId="14" fillId="0" fontId="2" numFmtId="14" xfId="0" applyAlignment="1" applyBorder="1" applyFont="1" applyNumberFormat="1">
      <alignment vertical="center"/>
    </xf>
    <xf borderId="14" fillId="0" fontId="2" numFmtId="14" xfId="0" applyAlignment="1" applyBorder="1" applyFont="1" applyNumberFormat="1">
      <alignment horizontal="center" vertical="center"/>
    </xf>
    <xf borderId="26" fillId="0" fontId="8" numFmtId="0" xfId="0" applyAlignment="1" applyBorder="1" applyFont="1">
      <alignment shrinkToFit="0" vertical="center" wrapText="1"/>
    </xf>
    <xf borderId="3" fillId="2" fontId="2" numFmtId="0" xfId="0" applyAlignment="1" applyBorder="1" applyFill="1" applyFont="1">
      <alignment horizontal="center" vertical="center"/>
    </xf>
    <xf borderId="21" fillId="2" fontId="2" numFmtId="0" xfId="0" applyAlignment="1" applyBorder="1" applyFill="1" applyFont="1">
      <alignment vertical="center"/>
    </xf>
    <xf borderId="21" fillId="2" fontId="2" numFmtId="14" xfId="0" applyAlignment="1" applyBorder="1" applyFill="1" applyFont="1" applyNumberFormat="1">
      <alignment horizontal="center" vertical="center"/>
    </xf>
    <xf borderId="21" fillId="2" fontId="2" numFmtId="0" xfId="0" applyAlignment="1" applyBorder="1" applyFill="1" applyFont="1">
      <alignment horizontal="center" vertical="center"/>
    </xf>
    <xf borderId="19" fillId="2" fontId="8" numFmtId="0" xfId="0" applyAlignment="1" applyBorder="1" applyFill="1" applyFont="1">
      <alignment shrinkToFit="0" vertical="center" wrapText="1"/>
    </xf>
    <xf borderId="23" fillId="0" fontId="2" numFmtId="0" xfId="0" applyAlignment="1" applyBorder="1" applyFont="1">
      <alignment horizontal="center"/>
    </xf>
    <xf borderId="23" fillId="0" fontId="2" numFmtId="14" xfId="0" applyBorder="1" applyFont="1" applyNumberFormat="1"/>
    <xf borderId="23" fillId="0" fontId="2" numFmtId="14" xfId="0" applyAlignment="1" applyBorder="1" applyFont="1" applyNumberFormat="1">
      <alignment horizontal="center"/>
    </xf>
    <xf borderId="23" fillId="0" fontId="2" numFmtId="0" xfId="0" applyBorder="1" applyFont="1"/>
    <xf borderId="1" fillId="0" fontId="2" numFmtId="14" xfId="0" applyBorder="1" applyFont="1" applyNumberFormat="1"/>
    <xf borderId="2" fillId="4" fontId="11" numFmtId="14" xfId="0" applyAlignment="1" applyBorder="1" applyFill="1" applyFont="1" applyNumberFormat="1">
      <alignment horizontal="left" vertical="center"/>
    </xf>
    <xf borderId="2" fillId="4" fontId="23" numFmtId="14" xfId="0" applyAlignment="1" applyBorder="1" applyFill="1" applyFont="1" applyNumberFormat="1">
      <alignment horizontal="center" vertical="center"/>
    </xf>
    <xf borderId="2" fillId="4" fontId="11" numFmtId="167" xfId="0" applyAlignment="1" applyBorder="1" applyFill="1" applyFont="1" applyNumberFormat="1">
      <alignment horizontal="center" vertical="center"/>
    </xf>
    <xf borderId="11" fillId="4" fontId="11" numFmtId="14" xfId="0" applyAlignment="1" applyBorder="1" applyFill="1" applyFont="1" applyNumberFormat="1">
      <alignment horizontal="left" vertical="center"/>
    </xf>
    <xf borderId="5" fillId="0" fontId="2" numFmtId="0" xfId="0" applyAlignment="1" applyBorder="1" applyFont="1">
      <alignment horizontal="center"/>
    </xf>
    <xf borderId="11" fillId="4" fontId="11" numFmtId="167" xfId="0" applyAlignment="1" applyBorder="1" applyFill="1" applyFont="1" applyNumberFormat="1">
      <alignment horizontal="center" vertical="center"/>
    </xf>
    <xf borderId="17" fillId="4" fontId="11" numFmtId="14" xfId="0" applyAlignment="1" applyBorder="1" applyFill="1" applyFont="1" applyNumberFormat="1">
      <alignment horizontal="left" vertical="center"/>
    </xf>
    <xf borderId="20" fillId="3" fontId="11" numFmtId="0" xfId="0" applyAlignment="1" applyBorder="1" applyFill="1" applyFont="1">
      <alignment horizontal="left" vertical="center"/>
    </xf>
    <xf borderId="1" fillId="2" fontId="8" numFmtId="0" xfId="0" applyBorder="1" applyFill="1" applyFont="1"/>
    <xf borderId="5" fillId="0" fontId="2" numFmtId="14" xfId="0" applyBorder="1" applyFont="1" applyNumberFormat="1"/>
    <xf borderId="21" fillId="3" fontId="11" numFmtId="0" xfId="0" applyAlignment="1" applyBorder="1" applyFill="1" applyFont="1">
      <alignment horizontal="left" vertical="center"/>
    </xf>
    <xf borderId="2" fillId="4" fontId="16" numFmtId="14" xfId="0" applyAlignment="1" applyBorder="1" applyFill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5" fillId="0" fontId="2" numFmtId="14" xfId="0" applyAlignment="1" applyBorder="1" applyFont="1" applyNumberFormat="1">
      <alignment horizontal="center"/>
    </xf>
    <xf borderId="14" fillId="0" fontId="2" numFmtId="0" xfId="0" applyBorder="1" applyFont="1"/>
    <xf borderId="22" fillId="2" fontId="8" numFmtId="0" xfId="0" applyAlignment="1" applyBorder="1" applyFill="1" applyFont="1">
      <alignment shrinkToFit="0" vertical="center" wrapText="1"/>
    </xf>
    <xf borderId="4" fillId="0" fontId="2" numFmtId="0" xfId="0" applyAlignment="1" applyBorder="1" applyFont="1">
      <alignment horizontal="center"/>
    </xf>
    <xf borderId="27" fillId="0" fontId="24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5" fillId="0" fontId="2" numFmtId="0" xfId="0" applyBorder="1" applyFont="1"/>
    <xf borderId="23" fillId="0" fontId="2" numFmtId="0" xfId="0" applyAlignment="1" applyBorder="1" applyFont="1">
      <alignment vertical="center"/>
    </xf>
    <xf borderId="17" fillId="6" fontId="2" numFmtId="0" xfId="0" applyAlignment="1" applyBorder="1" applyFill="1" applyFont="1">
      <alignment horizontal="center"/>
    </xf>
    <xf borderId="1" fillId="6" fontId="2" numFmtId="14" xfId="0" applyAlignment="1" applyBorder="1" applyFill="1" applyFont="1" applyNumberFormat="1">
      <alignment horizontal="center"/>
    </xf>
    <xf borderId="17" fillId="4" fontId="2" numFmtId="0" xfId="0" applyAlignment="1" applyBorder="1" applyFill="1" applyFont="1">
      <alignment horizontal="center"/>
    </xf>
    <xf borderId="1" fillId="0" fontId="2" numFmtId="14" xfId="0" applyAlignment="1" applyBorder="1" applyFont="1" applyNumberFormat="1">
      <alignment horizontal="center" shrinkToFit="0" vertical="center" wrapText="1"/>
    </xf>
    <xf borderId="23" fillId="0" fontId="2" numFmtId="0" xfId="0" applyAlignment="1" applyBorder="1" applyFont="1">
      <alignment horizontal="center" vertical="center"/>
    </xf>
    <xf borderId="2" fillId="7" fontId="11" numFmtId="0" xfId="0" applyAlignment="1" applyBorder="1" applyFill="1" applyFont="1">
      <alignment horizontal="center" vertical="center"/>
    </xf>
    <xf borderId="2" fillId="7" fontId="11" numFmtId="14" xfId="0" applyAlignment="1" applyBorder="1" applyFill="1" applyFont="1" applyNumberFormat="1">
      <alignment horizontal="center" vertical="center"/>
    </xf>
    <xf borderId="2" fillId="8" fontId="11" numFmtId="14" xfId="0" applyAlignment="1" applyBorder="1" applyFill="1" applyFont="1" applyNumberFormat="1">
      <alignment horizontal="center" vertical="center"/>
    </xf>
    <xf borderId="9" fillId="7" fontId="11" numFmtId="0" xfId="0" applyAlignment="1" applyBorder="1" applyFill="1" applyFont="1">
      <alignment vertical="center"/>
    </xf>
    <xf borderId="9" fillId="7" fontId="11" numFmtId="0" xfId="0" applyAlignment="1" applyBorder="1" applyFill="1" applyFont="1">
      <alignment horizontal="left" vertical="center"/>
    </xf>
    <xf borderId="1" fillId="0" fontId="8" numFmtId="0" xfId="0" applyAlignment="1" applyBorder="1" applyFont="1">
      <alignment horizontal="center"/>
    </xf>
    <xf borderId="1" fillId="0" fontId="8" numFmtId="14" xfId="0" applyAlignment="1" applyBorder="1" applyFont="1" applyNumberFormat="1">
      <alignment horizontal="center"/>
    </xf>
    <xf borderId="11" fillId="4" fontId="2" numFmtId="14" xfId="0" applyAlignment="1" applyBorder="1" applyFill="1" applyFont="1" applyNumberFormat="1">
      <alignment horizontal="center" vertical="center"/>
    </xf>
    <xf borderId="1" fillId="0" fontId="8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6" fillId="0" fontId="2" numFmtId="0" xfId="0" applyBorder="1" applyFont="1"/>
    <xf borderId="1" fillId="2" fontId="2" numFmtId="0" xfId="0" applyBorder="1" applyFill="1" applyFont="1"/>
    <xf borderId="5" fillId="0" fontId="2" numFmtId="0" xfId="0" applyAlignment="1" applyBorder="1" applyFont="1">
      <alignment horizontal="center" vertical="center"/>
    </xf>
    <xf borderId="5" fillId="0" fontId="2" numFmtId="14" xfId="0" applyAlignment="1" applyBorder="1" applyFont="1" applyNumberFormat="1">
      <alignment horizontal="left"/>
    </xf>
    <xf borderId="28" fillId="3" fontId="2" numFmtId="0" xfId="0" applyAlignment="1" applyBorder="1" applyFill="1" applyFont="1">
      <alignment horizontal="center" vertical="center"/>
    </xf>
    <xf borderId="29" fillId="3" fontId="8" numFmtId="14" xfId="0" applyAlignment="1" applyBorder="1" applyFill="1" applyFont="1" applyNumberFormat="1">
      <alignment horizontal="left"/>
    </xf>
    <xf borderId="29" fillId="3" fontId="2" numFmtId="14" xfId="0" applyAlignment="1" applyBorder="1" applyFill="1" applyFont="1" applyNumberFormat="1">
      <alignment horizontal="center"/>
    </xf>
    <xf borderId="29" fillId="3" fontId="2" numFmtId="0" xfId="0" applyAlignment="1" applyBorder="1" applyFill="1" applyFont="1">
      <alignment horizontal="center"/>
    </xf>
    <xf borderId="29" fillId="3" fontId="2" numFmtId="14" xfId="0" applyAlignment="1" applyBorder="1" applyFill="1" applyFont="1" applyNumberFormat="1">
      <alignment horizontal="left"/>
    </xf>
    <xf borderId="30" fillId="3" fontId="2" numFmtId="14" xfId="0" applyAlignment="1" applyBorder="1" applyFill="1" applyFont="1" applyNumberFormat="1">
      <alignment horizontal="left"/>
    </xf>
    <xf borderId="31" fillId="3" fontId="2" numFmtId="0" xfId="0" applyAlignment="1" applyBorder="1" applyFill="1" applyFont="1">
      <alignment horizontal="center" vertical="center"/>
    </xf>
    <xf borderId="7" fillId="3" fontId="8" numFmtId="14" xfId="0" applyAlignment="1" applyBorder="1" applyFill="1" applyFont="1" applyNumberFormat="1">
      <alignment horizontal="left"/>
    </xf>
    <xf borderId="7" fillId="3" fontId="2" numFmtId="14" xfId="0" applyAlignment="1" applyBorder="1" applyFill="1" applyFont="1" applyNumberFormat="1">
      <alignment horizontal="center"/>
    </xf>
    <xf borderId="7" fillId="3" fontId="2" numFmtId="0" xfId="0" applyAlignment="1" applyBorder="1" applyFill="1" applyFont="1">
      <alignment horizontal="center"/>
    </xf>
    <xf borderId="7" fillId="3" fontId="2" numFmtId="14" xfId="0" applyAlignment="1" applyBorder="1" applyFill="1" applyFont="1" applyNumberFormat="1">
      <alignment horizontal="left"/>
    </xf>
    <xf borderId="32" fillId="3" fontId="2" numFmtId="14" xfId="0" applyAlignment="1" applyBorder="1" applyFill="1" applyFont="1" applyNumberFormat="1">
      <alignment horizontal="left"/>
    </xf>
    <xf borderId="33" fillId="3" fontId="2" numFmtId="0" xfId="0" applyAlignment="1" applyBorder="1" applyFill="1" applyFont="1">
      <alignment horizontal="center" vertical="center"/>
    </xf>
    <xf borderId="34" fillId="3" fontId="8" numFmtId="14" xfId="0" applyAlignment="1" applyBorder="1" applyFill="1" applyFont="1" applyNumberFormat="1">
      <alignment horizontal="left"/>
    </xf>
    <xf borderId="34" fillId="3" fontId="2" numFmtId="14" xfId="0" applyAlignment="1" applyBorder="1" applyFill="1" applyFont="1" applyNumberFormat="1">
      <alignment horizontal="center"/>
    </xf>
    <xf borderId="34" fillId="3" fontId="2" numFmtId="0" xfId="0" applyAlignment="1" applyBorder="1" applyFill="1" applyFont="1">
      <alignment horizontal="center"/>
    </xf>
    <xf borderId="34" fillId="3" fontId="2" numFmtId="14" xfId="0" applyAlignment="1" applyBorder="1" applyFill="1" applyFont="1" applyNumberFormat="1">
      <alignment horizontal="left"/>
    </xf>
    <xf borderId="35" fillId="3" fontId="2" numFmtId="14" xfId="0" applyAlignment="1" applyBorder="1" applyFill="1" applyFont="1" applyNumberFormat="1">
      <alignment horizontal="left"/>
    </xf>
    <xf borderId="36" fillId="0" fontId="2" numFmtId="0" xfId="0" applyAlignment="1" applyBorder="1" applyFont="1">
      <alignment horizontal="center" vertical="center"/>
    </xf>
    <xf borderId="23" fillId="0" fontId="2" numFmtId="14" xfId="0" applyAlignment="1" applyBorder="1" applyFont="1" applyNumberFormat="1">
      <alignment horizontal="left"/>
    </xf>
    <xf borderId="37" fillId="0" fontId="2" numFmtId="14" xfId="0" applyAlignment="1" applyBorder="1" applyFont="1" applyNumberFormat="1">
      <alignment horizontal="center"/>
    </xf>
    <xf borderId="1" fillId="0" fontId="11" numFmtId="49" xfId="0" applyAlignment="1" applyBorder="1" applyFont="1" applyNumberFormat="1">
      <alignment horizontal="center" vertical="center"/>
    </xf>
    <xf borderId="22" fillId="3" fontId="11" numFmtId="49" xfId="0" applyAlignment="1" applyBorder="1" applyFill="1" applyFont="1" applyNumberFormat="1">
      <alignment horizontal="center" vertical="center"/>
    </xf>
    <xf borderId="1" fillId="4" fontId="11" numFmtId="49" xfId="0" applyAlignment="1" applyBorder="1" applyFill="1" applyFont="1" applyNumberFormat="1">
      <alignment horizontal="center" vertical="center"/>
    </xf>
    <xf borderId="2" fillId="3" fontId="11" numFmtId="0" xfId="0" applyAlignment="1" applyBorder="1" applyFill="1" applyFont="1">
      <alignment horizontal="center" vertical="center"/>
    </xf>
    <xf borderId="1" fillId="3" fontId="11" numFmtId="49" xfId="0" applyAlignment="1" applyBorder="1" applyFill="1" applyFont="1" applyNumberFormat="1">
      <alignment horizontal="center" vertical="center"/>
    </xf>
    <xf borderId="8" fillId="4" fontId="16" numFmtId="14" xfId="0" applyAlignment="1" applyBorder="1" applyFill="1" applyFont="1" applyNumberFormat="1">
      <alignment horizontal="center" vertical="center"/>
    </xf>
    <xf borderId="6" fillId="0" fontId="11" numFmtId="49" xfId="0" applyAlignment="1" applyBorder="1" applyFont="1" applyNumberForma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1" numFmtId="164" xfId="0" applyAlignment="1" applyBorder="1" applyFont="1" applyNumberFormat="1">
      <alignment horizontal="center" vertical="center"/>
    </xf>
    <xf borderId="18" fillId="4" fontId="11" numFmtId="14" xfId="0" applyAlignment="1" applyBorder="1" applyFill="1" applyFont="1" applyNumberFormat="1">
      <alignment horizontal="center" vertical="center"/>
    </xf>
    <xf borderId="8" fillId="4" fontId="11" numFmtId="14" xfId="0" applyAlignment="1" applyBorder="1" applyFill="1" applyFont="1" applyNumberFormat="1">
      <alignment horizontal="center" vertical="center"/>
    </xf>
    <xf borderId="22" fillId="4" fontId="11" numFmtId="49" xfId="0" applyAlignment="1" applyBorder="1" applyFill="1" applyFont="1" applyNumberFormat="1">
      <alignment horizontal="center" vertical="center"/>
    </xf>
    <xf borderId="22" fillId="4" fontId="11" numFmtId="0" xfId="0" applyAlignment="1" applyBorder="1" applyFill="1" applyFont="1">
      <alignment horizontal="center" vertical="center"/>
    </xf>
    <xf borderId="22" fillId="4" fontId="11" numFmtId="164" xfId="0" applyAlignment="1" applyBorder="1" applyFill="1" applyFont="1" applyNumberFormat="1">
      <alignment horizontal="center" vertical="center"/>
    </xf>
    <xf borderId="7" fillId="3" fontId="11" numFmtId="0" xfId="0" applyAlignment="1" applyBorder="1" applyFill="1" applyFont="1">
      <alignment horizontal="center" vertical="center"/>
    </xf>
    <xf borderId="8" fillId="4" fontId="22" numFmtId="14" xfId="0" applyAlignment="1" applyBorder="1" applyFill="1" applyFont="1" applyNumberFormat="1">
      <alignment horizontal="center" vertical="center"/>
    </xf>
    <xf borderId="25" fillId="0" fontId="11" numFmtId="14" xfId="0" applyAlignment="1" applyBorder="1" applyFont="1" applyNumberFormat="1">
      <alignment horizontal="center" vertical="center"/>
    </xf>
    <xf borderId="10" fillId="0" fontId="11" numFmtId="49" xfId="0" applyAlignment="1" applyBorder="1" applyFont="1" applyNumberFormat="1">
      <alignment horizontal="center" vertical="center"/>
    </xf>
    <xf borderId="10" fillId="0" fontId="11" numFmtId="164" xfId="0" applyAlignment="1" applyBorder="1" applyFont="1" applyNumberFormat="1">
      <alignment horizontal="center" vertical="center"/>
    </xf>
    <xf borderId="11" fillId="3" fontId="11" numFmtId="0" xfId="0" applyAlignment="1" applyBorder="1" applyFill="1" applyFon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9" fillId="3" fontId="11" numFmtId="0" xfId="0" applyAlignment="1" applyBorder="1" applyFill="1" applyFont="1">
      <alignment horizontal="center" vertical="center"/>
    </xf>
    <xf borderId="8" fillId="4" fontId="2" numFmtId="14" xfId="0" applyAlignment="1" applyBorder="1" applyFill="1" applyFont="1" applyNumberFormat="1">
      <alignment horizontal="center" vertical="center"/>
    </xf>
    <xf borderId="3" fillId="3" fontId="11" numFmtId="164" xfId="0" applyAlignment="1" applyBorder="1" applyFill="1" applyFont="1" applyNumberFormat="1">
      <alignment horizontal="center" vertical="center"/>
    </xf>
    <xf borderId="5" fillId="0" fontId="11" numFmtId="164" xfId="0" applyAlignment="1" applyBorder="1" applyFont="1" applyNumberFormat="1">
      <alignment horizontal="center" vertical="center"/>
    </xf>
    <xf borderId="2" fillId="3" fontId="11" numFmtId="14" xfId="0" applyAlignment="1" applyBorder="1" applyFill="1" applyFont="1" applyNumberFormat="1">
      <alignment horizontal="center" vertical="center"/>
    </xf>
    <xf borderId="1" fillId="3" fontId="11" numFmtId="14" xfId="0" applyAlignment="1" applyBorder="1" applyFill="1" applyFont="1" applyNumberFormat="1">
      <alignment horizontal="center" vertical="center"/>
    </xf>
    <xf borderId="8" fillId="3" fontId="11" numFmtId="164" xfId="0" applyAlignment="1" applyBorder="1" applyFill="1" applyFont="1" applyNumberFormat="1">
      <alignment horizontal="center" vertical="center"/>
    </xf>
    <xf borderId="9" fillId="3" fontId="11" numFmtId="14" xfId="0" applyAlignment="1" applyBorder="1" applyFill="1" applyFont="1" applyNumberFormat="1">
      <alignment horizontal="center" vertical="center"/>
    </xf>
    <xf borderId="11" fillId="3" fontId="11" numFmtId="14" xfId="0" applyAlignment="1" applyBorder="1" applyFill="1" applyFont="1" applyNumberFormat="1">
      <alignment horizontal="center" vertical="center"/>
    </xf>
    <xf borderId="15" fillId="3" fontId="11" numFmtId="164" xfId="0" applyAlignment="1" applyBorder="1" applyFill="1" applyFont="1" applyNumberFormat="1">
      <alignment horizontal="center" vertical="center"/>
    </xf>
    <xf borderId="15" fillId="3" fontId="2" numFmtId="0" xfId="0" applyAlignment="1" applyBorder="1" applyFill="1" applyFont="1">
      <alignment horizontal="center" vertical="center"/>
    </xf>
    <xf borderId="13" fillId="3" fontId="11" numFmtId="14" xfId="0" applyAlignment="1" applyBorder="1" applyFill="1" applyFont="1" applyNumberFormat="1">
      <alignment horizontal="center" vertical="center"/>
    </xf>
    <xf borderId="17" fillId="3" fontId="9" numFmtId="0" xfId="0" applyAlignment="1" applyBorder="1" applyFill="1" applyFont="1">
      <alignment horizontal="center" vertical="center"/>
    </xf>
    <xf borderId="36" fillId="0" fontId="9" numFmtId="164" xfId="0" applyAlignment="1" applyBorder="1" applyFont="1" applyNumberFormat="1">
      <alignment horizontal="center" vertical="center"/>
    </xf>
    <xf borderId="18" fillId="3" fontId="2" numFmtId="0" xfId="0" applyAlignment="1" applyBorder="1" applyFill="1" applyFont="1">
      <alignment horizontal="center" vertical="center"/>
    </xf>
    <xf borderId="19" fillId="3" fontId="11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3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0</xdr:row>
      <xdr:rowOff>0</xdr:rowOff>
    </xdr:from>
    <xdr:ext cx="145732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0</xdr:row>
      <xdr:rowOff>38100</xdr:rowOff>
    </xdr:from>
    <xdr:ext cx="103822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85725</xdr:rowOff>
    </xdr:from>
    <xdr:ext cx="103822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3171825</xdr:colOff>
      <xdr:row>0</xdr:row>
      <xdr:rowOff>19050</xdr:rowOff>
    </xdr:from>
    <xdr:ext cx="103822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0</xdr:row>
      <xdr:rowOff>85725</xdr:rowOff>
    </xdr:from>
    <xdr:ext cx="790575" cy="828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3486150</xdr:colOff>
      <xdr:row>2</xdr:row>
      <xdr:rowOff>47625</xdr:rowOff>
    </xdr:from>
    <xdr:ext cx="1047750" cy="8382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0</xdr:row>
      <xdr:rowOff>95250</xdr:rowOff>
    </xdr:from>
    <xdr:ext cx="971550" cy="8286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4286250</xdr:colOff>
      <xdr:row>1</xdr:row>
      <xdr:rowOff>142875</xdr:rowOff>
    </xdr:from>
    <xdr:ext cx="1123950" cy="8572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4981575</xdr:colOff>
      <xdr:row>0</xdr:row>
      <xdr:rowOff>76200</xdr:rowOff>
    </xdr:from>
    <xdr:ext cx="847725" cy="8286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1828800</xdr:colOff>
      <xdr:row>2</xdr:row>
      <xdr:rowOff>19050</xdr:rowOff>
    </xdr:from>
    <xdr:ext cx="1047750" cy="8382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1571625</xdr:colOff>
      <xdr:row>1</xdr:row>
      <xdr:rowOff>66675</xdr:rowOff>
    </xdr:from>
    <xdr:ext cx="1295400" cy="8096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1047750</xdr:colOff>
      <xdr:row>1</xdr:row>
      <xdr:rowOff>95250</xdr:rowOff>
    </xdr:from>
    <xdr:ext cx="1095375" cy="8096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228600</xdr:rowOff>
    </xdr:from>
    <xdr:ext cx="981075" cy="7429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85.71"/>
    <col customWidth="1" min="3" max="3" width="59.29"/>
    <col customWidth="1" min="4" max="4" width="94.86"/>
    <col customWidth="1" min="5" max="5" width="16.14"/>
    <col customWidth="1" min="6" max="6" width="102.0"/>
    <col customWidth="1" min="7" max="7" width="46.86"/>
    <col customWidth="1" min="8" max="8" width="35.71"/>
    <col customWidth="1" min="9" max="9" width="25.86"/>
    <col customWidth="1" min="10" max="10" width="7.86"/>
    <col customWidth="1" min="11" max="11" width="26.43"/>
    <col customWidth="1" min="12" max="12" width="10.71"/>
    <col customWidth="1" min="13" max="26" width="8.71"/>
  </cols>
  <sheetData>
    <row r="1">
      <c r="A1" s="1"/>
      <c r="B1" s="2"/>
      <c r="C1" s="3" t="s">
        <v>0</v>
      </c>
      <c r="E1" s="4"/>
      <c r="F1" s="5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8" t="s">
        <v>1</v>
      </c>
      <c r="F2" s="5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8" t="s">
        <v>2</v>
      </c>
      <c r="F3" s="5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/>
      <c r="G4" s="12" t="s">
        <v>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/>
      <c r="C5" s="10"/>
      <c r="D5" s="10"/>
      <c r="E5" s="10"/>
      <c r="F5" s="10"/>
      <c r="G5" s="14"/>
      <c r="H5" s="2"/>
      <c r="I5" s="10"/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"/>
      <c r="B6" s="18" t="s">
        <v>4</v>
      </c>
      <c r="C6" s="18"/>
      <c r="D6" s="18"/>
      <c r="E6" s="18"/>
      <c r="F6" s="18"/>
      <c r="G6" s="21"/>
      <c r="H6" s="1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 t="s">
        <v>5</v>
      </c>
      <c r="C7" s="18"/>
      <c r="D7" s="18"/>
      <c r="E7" s="18"/>
      <c r="F7" s="18"/>
      <c r="G7" s="21"/>
      <c r="H7" s="1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 t="s">
        <v>11</v>
      </c>
      <c r="C8" s="18"/>
      <c r="D8" s="18"/>
      <c r="E8" s="18"/>
      <c r="F8" s="18"/>
      <c r="G8" s="21"/>
      <c r="H8" s="1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21"/>
      <c r="H9" s="1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4" t="s">
        <v>14</v>
      </c>
      <c r="B10" s="24" t="s">
        <v>20</v>
      </c>
      <c r="C10" s="28" t="s">
        <v>21</v>
      </c>
      <c r="D10" s="28" t="s">
        <v>27</v>
      </c>
      <c r="E10" s="28" t="s">
        <v>28</v>
      </c>
      <c r="F10" s="29" t="s">
        <v>29</v>
      </c>
      <c r="G10" s="30" t="s">
        <v>10</v>
      </c>
      <c r="H10" s="31" t="s">
        <v>8</v>
      </c>
      <c r="I10" s="38"/>
      <c r="J10" s="28" t="s"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40">
        <v>1.0</v>
      </c>
      <c r="B11" s="44" t="s">
        <v>47</v>
      </c>
      <c r="C11" s="47">
        <v>46205.0</v>
      </c>
      <c r="D11" s="40">
        <v>1.9999507E7</v>
      </c>
      <c r="E11" s="51" t="s">
        <v>58</v>
      </c>
      <c r="F11" s="55" t="str">
        <f>'0408030'!B42</f>
        <v>artrodese toraco-lombo-sacra posterior 2 niveis</v>
      </c>
      <c r="G11" s="58">
        <f>'0408030'!C42</f>
        <v>1155.78</v>
      </c>
      <c r="H11" s="59" t="str">
        <f>'por medico'!A17</f>
        <v>EDUARDO VARJÃO VIEIRA </v>
      </c>
      <c r="I11" s="61"/>
      <c r="J11" s="63" t="s">
        <v>175</v>
      </c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5"/>
      <c r="B12" s="65"/>
      <c r="C12" s="65"/>
      <c r="D12" s="66"/>
      <c r="E12" s="51" t="s">
        <v>196</v>
      </c>
      <c r="F12" s="55" t="str">
        <f>'0408030'!B25</f>
        <v>artrodese intersomatica vias posterior /postero lateral  1 nivel </v>
      </c>
      <c r="G12" s="58">
        <f>'0408030'!C25</f>
        <v>611</v>
      </c>
      <c r="H12" s="68" t="str">
        <f>'por medico'!A21</f>
        <v>WAGNER DE AZEVEDO  HERCULANO</v>
      </c>
      <c r="I12" s="71"/>
      <c r="J12" s="7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2"/>
      <c r="B13" s="72"/>
      <c r="C13" s="72"/>
      <c r="D13" s="75"/>
      <c r="E13" s="51" t="s">
        <v>246</v>
      </c>
      <c r="F13" s="55" t="str">
        <f>'0408030'!B51</f>
        <v>disectomia cervical/lombar/lombo-sacra por via posterior (1 nivel com microscopio)</v>
      </c>
      <c r="G13" s="58">
        <f>'0408030'!C51</f>
        <v>470</v>
      </c>
      <c r="H13" s="77"/>
      <c r="I13" s="71"/>
      <c r="J13" s="7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5"/>
      <c r="B14" s="65"/>
      <c r="C14" s="65"/>
      <c r="D14" s="66"/>
      <c r="E14" s="51" t="s">
        <v>247</v>
      </c>
      <c r="F14" s="55" t="str">
        <f>'0403020'!B23</f>
        <v>tratamento cirurgico  de neuropatia compressiva com ou sem microcirurgia</v>
      </c>
      <c r="G14" s="58">
        <f>'0403020'!C23</f>
        <v>560</v>
      </c>
      <c r="H14" s="77"/>
      <c r="I14" s="71"/>
      <c r="J14" s="8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3"/>
      <c r="B15" s="83"/>
      <c r="C15" s="65"/>
      <c r="D15" s="66"/>
      <c r="E15" s="51" t="s">
        <v>254</v>
      </c>
      <c r="F15" s="55" t="str">
        <f>'0408030'!B66</f>
        <v>ressecção de elemento vertebral posterior /postero-lateral /distal a C2 ( até 2 segmentos)</v>
      </c>
      <c r="G15" s="58">
        <f>'0408030'!C66</f>
        <v>288</v>
      </c>
      <c r="H15" s="85"/>
      <c r="I15" s="86"/>
      <c r="J15" s="8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7"/>
      <c r="B16" s="88"/>
      <c r="C16" s="89"/>
      <c r="D16" s="89"/>
      <c r="E16" s="90" t="s">
        <v>287</v>
      </c>
      <c r="F16" s="28" t="s">
        <v>292</v>
      </c>
      <c r="G16" s="91">
        <f>SUM(G11:G15)</f>
        <v>3084.78</v>
      </c>
      <c r="H16" s="92"/>
      <c r="I16" s="89"/>
      <c r="J16" s="93"/>
      <c r="K16" s="1"/>
      <c r="L16" s="9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0">
        <v>2.0</v>
      </c>
      <c r="B17" s="44" t="s">
        <v>319</v>
      </c>
      <c r="C17" s="47">
        <v>46205.0</v>
      </c>
      <c r="D17" s="40">
        <v>2.0170007E7</v>
      </c>
      <c r="E17" s="51" t="s">
        <v>320</v>
      </c>
      <c r="F17" s="55" t="str">
        <f>'0408030'!B104</f>
        <v>artrodese cervical /cervico toráxica posterior 4 niveis </v>
      </c>
      <c r="G17" s="58">
        <f>'0408030'!C104</f>
        <v>1155.78</v>
      </c>
      <c r="H17" s="59" t="str">
        <f>'por medico'!A21</f>
        <v>WAGNER DE AZEVEDO  HERCULANO</v>
      </c>
      <c r="I17" s="61"/>
      <c r="J17" s="61" t="s">
        <v>175</v>
      </c>
      <c r="K17" s="1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5"/>
      <c r="B18" s="65"/>
      <c r="C18" s="65"/>
      <c r="D18" s="66"/>
      <c r="E18" s="51" t="s">
        <v>325</v>
      </c>
      <c r="F18" s="96" t="str">
        <f>'0403010'!B38</f>
        <v>tratamento cirurgico de fistula liquorica raquidiana</v>
      </c>
      <c r="G18" s="58">
        <f>'0403010'!C38</f>
        <v>671.94</v>
      </c>
      <c r="H18" s="68" t="str">
        <f>'por medico'!A17</f>
        <v>EDUARDO VARJÃO VIEIRA </v>
      </c>
      <c r="I18" s="71"/>
      <c r="J18" s="71"/>
      <c r="K18" s="1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2"/>
      <c r="B19" s="72"/>
      <c r="C19" s="72"/>
      <c r="D19" s="75"/>
      <c r="E19" s="51" t="s">
        <v>247</v>
      </c>
      <c r="F19" s="55" t="str">
        <f>'0403020'!B23</f>
        <v>tratamento cirurgico  de neuropatia compressiva com ou sem microcirurgia</v>
      </c>
      <c r="G19" s="58">
        <f>'0403020'!C23</f>
        <v>560</v>
      </c>
      <c r="H19" s="77"/>
      <c r="I19" s="71"/>
      <c r="J19" s="7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5"/>
      <c r="B20" s="65"/>
      <c r="C20" s="65"/>
      <c r="D20" s="66"/>
      <c r="E20" s="51" t="s">
        <v>336</v>
      </c>
      <c r="F20" s="55" t="str">
        <f>'0408030'!B65</f>
        <v>ressecção de elemento vertebral posterior /postero-lateral /distal a C2 (mais de 2 segmentos)</v>
      </c>
      <c r="G20" s="58">
        <f>'0408030'!C65</f>
        <v>345.6</v>
      </c>
      <c r="H20" s="77"/>
      <c r="I20" s="71"/>
      <c r="J20" s="71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65"/>
      <c r="B21" s="83"/>
      <c r="C21" s="65"/>
      <c r="D21" s="66"/>
      <c r="E21" s="51" t="s">
        <v>287</v>
      </c>
      <c r="F21" s="55"/>
      <c r="G21" s="58"/>
      <c r="H21" s="85"/>
      <c r="I21" s="86"/>
      <c r="J21" s="8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02"/>
      <c r="B22" s="89"/>
      <c r="C22" s="89"/>
      <c r="D22" s="89"/>
      <c r="E22" s="90" t="s">
        <v>287</v>
      </c>
      <c r="F22" s="28" t="s">
        <v>292</v>
      </c>
      <c r="G22" s="91">
        <f>SUM(G17:G21)</f>
        <v>2733.32</v>
      </c>
      <c r="H22" s="92"/>
      <c r="I22" s="89"/>
      <c r="J22" s="10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04">
        <v>3.0</v>
      </c>
      <c r="B23" s="44" t="s">
        <v>337</v>
      </c>
      <c r="C23" s="65">
        <v>46205.0</v>
      </c>
      <c r="D23" s="104">
        <v>1.8270306E7</v>
      </c>
      <c r="E23" s="51" t="s">
        <v>338</v>
      </c>
      <c r="F23" s="96" t="str">
        <f>'0403010'!B22</f>
        <v>derivação ventricular para peritoneo/atrio/pleura/raque</v>
      </c>
      <c r="G23" s="58">
        <f>'0403010'!C22</f>
        <v>682.08</v>
      </c>
      <c r="H23" s="59" t="str">
        <f>'por medico'!A21</f>
        <v>WAGNER DE AZEVEDO  HERCULANO</v>
      </c>
      <c r="I23" s="61"/>
      <c r="J23" s="63" t="s">
        <v>175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5"/>
      <c r="B24" s="65"/>
      <c r="C24" s="65"/>
      <c r="D24" s="66"/>
      <c r="E24" s="51" t="s">
        <v>339</v>
      </c>
      <c r="F24" s="96" t="str">
        <f>'0403010'!B49</f>
        <v>trepanação craniana para punção ou biopsia   </v>
      </c>
      <c r="G24" s="58">
        <f>'0403010'!C49</f>
        <v>107.52</v>
      </c>
      <c r="H24" s="68" t="str">
        <f>'por medico'!A17</f>
        <v>EDUARDO VARJÃO VIEIRA </v>
      </c>
      <c r="I24" s="71"/>
      <c r="J24" s="7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5"/>
      <c r="B25" s="72"/>
      <c r="C25" s="65"/>
      <c r="D25" s="66"/>
      <c r="E25" s="51" t="s">
        <v>287</v>
      </c>
      <c r="F25" s="55"/>
      <c r="G25" s="58"/>
      <c r="H25" s="77"/>
      <c r="I25" s="71"/>
      <c r="J25" s="7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5"/>
      <c r="B26" s="65"/>
      <c r="C26" s="65"/>
      <c r="D26" s="66"/>
      <c r="E26" s="51" t="s">
        <v>287</v>
      </c>
      <c r="F26" s="55"/>
      <c r="G26" s="58"/>
      <c r="H26" s="77"/>
      <c r="I26" s="71"/>
      <c r="J26" s="7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5"/>
      <c r="B27" s="83"/>
      <c r="C27" s="65"/>
      <c r="D27" s="66"/>
      <c r="E27" s="51" t="s">
        <v>287</v>
      </c>
      <c r="F27" s="55"/>
      <c r="G27" s="58"/>
      <c r="H27" s="85"/>
      <c r="I27" s="86"/>
      <c r="J27" s="8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02"/>
      <c r="B28" s="89"/>
      <c r="C28" s="89"/>
      <c r="D28" s="89"/>
      <c r="E28" s="90" t="s">
        <v>287</v>
      </c>
      <c r="F28" s="28" t="s">
        <v>292</v>
      </c>
      <c r="G28" s="91">
        <f>SUM(G23:G27)</f>
        <v>789.6</v>
      </c>
      <c r="H28" s="92"/>
      <c r="I28" s="89"/>
      <c r="J28" s="9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0">
        <v>4.0</v>
      </c>
      <c r="B29" s="44" t="s">
        <v>342</v>
      </c>
      <c r="C29" s="47">
        <v>46205.0</v>
      </c>
      <c r="D29" s="40">
        <v>1.6019804E7</v>
      </c>
      <c r="E29" s="51" t="s">
        <v>343</v>
      </c>
      <c r="F29" s="55" t="str">
        <f>'0403010'!B44</f>
        <v>Tratamento cirurgico de hematoma subdural cronico</v>
      </c>
      <c r="G29" s="58">
        <f>'0403010'!C44</f>
        <v>682.08</v>
      </c>
      <c r="H29" s="59" t="str">
        <f>'por medico'!A17</f>
        <v>EDUARDO VARJÃO VIEIRA </v>
      </c>
      <c r="I29" s="61"/>
      <c r="J29" s="61" t="s">
        <v>175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5"/>
      <c r="B30" s="65"/>
      <c r="C30" s="65"/>
      <c r="D30" s="66"/>
      <c r="E30" s="51" t="s">
        <v>344</v>
      </c>
      <c r="F30" s="96" t="str">
        <f>'0403010'!B14</f>
        <v>Craniotomia descompressiva</v>
      </c>
      <c r="G30" s="58">
        <f>'0403010'!C14</f>
        <v>391.86</v>
      </c>
      <c r="H30" s="68" t="str">
        <f>'por medico'!A21</f>
        <v>WAGNER DE AZEVEDO  HERCULANO</v>
      </c>
      <c r="I30" s="71"/>
      <c r="J30" s="7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5"/>
      <c r="B31" s="72"/>
      <c r="C31" s="72"/>
      <c r="D31" s="75"/>
      <c r="E31" s="51" t="s">
        <v>287</v>
      </c>
      <c r="F31" s="55"/>
      <c r="G31" s="58"/>
      <c r="H31" s="77"/>
      <c r="I31" s="71"/>
      <c r="J31" s="7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5"/>
      <c r="B32" s="65"/>
      <c r="C32" s="65"/>
      <c r="D32" s="66"/>
      <c r="E32" s="51" t="s">
        <v>287</v>
      </c>
      <c r="F32" s="55"/>
      <c r="G32" s="58"/>
      <c r="H32" s="77"/>
      <c r="I32" s="71"/>
      <c r="J32" s="7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5"/>
      <c r="B33" s="107"/>
      <c r="C33" s="72"/>
      <c r="D33" s="75"/>
      <c r="E33" s="51" t="s">
        <v>287</v>
      </c>
      <c r="F33" s="55"/>
      <c r="G33" s="58"/>
      <c r="H33" s="85"/>
      <c r="I33" s="86"/>
      <c r="J33" s="8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02"/>
      <c r="B34" s="89"/>
      <c r="C34" s="89"/>
      <c r="D34" s="89"/>
      <c r="E34" s="90" t="s">
        <v>287</v>
      </c>
      <c r="F34" s="28" t="s">
        <v>292</v>
      </c>
      <c r="G34" s="91">
        <f>SUM(G29:G33)</f>
        <v>1073.94</v>
      </c>
      <c r="H34" s="92"/>
      <c r="I34" s="89"/>
      <c r="J34" s="9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04">
        <v>5.0</v>
      </c>
      <c r="B35" s="47" t="s">
        <v>351</v>
      </c>
      <c r="C35" s="109">
        <v>46205.0</v>
      </c>
      <c r="D35" s="104">
        <v>2.0207494E7</v>
      </c>
      <c r="E35" s="112" t="s">
        <v>352</v>
      </c>
      <c r="F35" s="113" t="str">
        <f>'0403010'!B37</f>
        <v>tratamento cirurgico de fistula liquorica craniana</v>
      </c>
      <c r="G35" s="114">
        <f>'0403010'!C37</f>
        <v>671.94</v>
      </c>
      <c r="H35" s="77" t="str">
        <f>'por medico'!A17</f>
        <v>EDUARDO VARJÃO VIEIRA </v>
      </c>
      <c r="I35" s="61"/>
      <c r="J35" s="63" t="s">
        <v>175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5"/>
      <c r="B36" s="65"/>
      <c r="C36" s="65"/>
      <c r="D36" s="66"/>
      <c r="E36" s="112" t="s">
        <v>387</v>
      </c>
      <c r="F36" s="113" t="str">
        <f>'0403010'!B41</f>
        <v>tratamento cirurgico de hematoma intracerebral</v>
      </c>
      <c r="G36" s="114">
        <f>'0403010'!C41</f>
        <v>488.99</v>
      </c>
      <c r="H36" s="77" t="str">
        <f>'por medico'!A21</f>
        <v>WAGNER DE AZEVEDO  HERCULANO</v>
      </c>
      <c r="I36" s="71"/>
      <c r="J36" s="7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5"/>
      <c r="B37" s="65"/>
      <c r="C37" s="65"/>
      <c r="D37" s="66"/>
      <c r="E37" s="112" t="s">
        <v>344</v>
      </c>
      <c r="F37" s="113" t="str">
        <f>'0403010'!B14</f>
        <v>Craniotomia descompressiva</v>
      </c>
      <c r="G37" s="114">
        <f>'0403010'!C14</f>
        <v>391.86</v>
      </c>
      <c r="H37" s="77"/>
      <c r="I37" s="71"/>
      <c r="J37" s="71"/>
      <c r="K37" s="11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5"/>
      <c r="B38" s="65"/>
      <c r="C38" s="65"/>
      <c r="D38" s="66"/>
      <c r="E38" s="51" t="s">
        <v>287</v>
      </c>
      <c r="F38" s="55"/>
      <c r="G38" s="58"/>
      <c r="H38" s="77"/>
      <c r="I38" s="71"/>
      <c r="J38" s="7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5"/>
      <c r="B39" s="83"/>
      <c r="C39" s="65"/>
      <c r="D39" s="66"/>
      <c r="E39" s="51" t="s">
        <v>287</v>
      </c>
      <c r="F39" s="55"/>
      <c r="G39" s="58"/>
      <c r="H39" s="85"/>
      <c r="I39" s="86"/>
      <c r="J39" s="8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02"/>
      <c r="B40" s="89"/>
      <c r="C40" s="89"/>
      <c r="D40" s="89"/>
      <c r="E40" s="90" t="s">
        <v>287</v>
      </c>
      <c r="F40" s="28" t="s">
        <v>292</v>
      </c>
      <c r="G40" s="91">
        <f>SUM(G35:G39)</f>
        <v>1552.79</v>
      </c>
      <c r="H40" s="92"/>
      <c r="I40" s="89"/>
      <c r="J40" s="9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04">
        <v>6.0</v>
      </c>
      <c r="B41" s="44" t="s">
        <v>396</v>
      </c>
      <c r="C41" s="47">
        <v>46205.0</v>
      </c>
      <c r="D41" s="40">
        <v>2.020751E7</v>
      </c>
      <c r="E41" s="51" t="s">
        <v>397</v>
      </c>
      <c r="F41" s="96" t="str">
        <f>'0403010'!B30</f>
        <v>revisão derivação ventricular para peritoneo/atrio/pleura/raque</v>
      </c>
      <c r="G41" s="58">
        <f>'0403010'!C30</f>
        <v>572</v>
      </c>
      <c r="H41" s="116" t="str">
        <f>'por medico'!A15</f>
        <v>JAQUISSON  DE DEUS GUIMARÃES FILHO</v>
      </c>
      <c r="I41" s="61"/>
      <c r="J41" s="61" t="s">
        <v>175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5"/>
      <c r="B42" s="65"/>
      <c r="C42" s="65"/>
      <c r="D42" s="66"/>
      <c r="E42" s="51" t="s">
        <v>398</v>
      </c>
      <c r="F42" s="96" t="str">
        <f>'0403010'!B21</f>
        <v>derivação ventricular externa -subgaleal  externa</v>
      </c>
      <c r="G42" s="58">
        <f>'0403010'!C21</f>
        <v>286</v>
      </c>
      <c r="H42" s="68" t="str">
        <f>'por medico'!A21</f>
        <v>WAGNER DE AZEVEDO  HERCULANO</v>
      </c>
      <c r="I42" s="71"/>
      <c r="J42" s="7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5"/>
      <c r="B43" s="72"/>
      <c r="C43" s="72"/>
      <c r="D43" s="75"/>
      <c r="E43" s="51" t="s">
        <v>339</v>
      </c>
      <c r="F43" s="96" t="str">
        <f>'0403010'!B49</f>
        <v>trepanação craniana para punção ou biopsia   </v>
      </c>
      <c r="G43" s="58">
        <f>'0403010'!C49</f>
        <v>107.52</v>
      </c>
      <c r="H43" s="77"/>
      <c r="I43" s="71"/>
      <c r="J43" s="7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5"/>
      <c r="B44" s="65"/>
      <c r="C44" s="65"/>
      <c r="D44" s="66"/>
      <c r="E44" s="51" t="s">
        <v>287</v>
      </c>
      <c r="F44" s="55"/>
      <c r="G44" s="58"/>
      <c r="H44" s="77"/>
      <c r="I44" s="71"/>
      <c r="J44" s="7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5"/>
      <c r="B45" s="83"/>
      <c r="C45" s="65"/>
      <c r="D45" s="66"/>
      <c r="E45" s="51" t="s">
        <v>287</v>
      </c>
      <c r="F45" s="55"/>
      <c r="G45" s="58"/>
      <c r="H45" s="85"/>
      <c r="I45" s="86"/>
      <c r="J45" s="8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02"/>
      <c r="B46" s="103"/>
      <c r="C46" s="89"/>
      <c r="D46" s="89"/>
      <c r="E46" s="90" t="s">
        <v>287</v>
      </c>
      <c r="F46" s="28" t="s">
        <v>292</v>
      </c>
      <c r="G46" s="91">
        <f>SUM(G41:G45)</f>
        <v>965.52</v>
      </c>
      <c r="H46" s="92"/>
      <c r="I46" s="89"/>
      <c r="J46" s="9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04">
        <v>7.0</v>
      </c>
      <c r="B47" s="44" t="s">
        <v>399</v>
      </c>
      <c r="C47" s="47">
        <v>46206.0</v>
      </c>
      <c r="D47" s="40">
        <v>1.9937804E7</v>
      </c>
      <c r="E47" s="51" t="s">
        <v>400</v>
      </c>
      <c r="F47" s="55" t="str">
        <f>'0408030'!B38</f>
        <v>artrodese toraco-lombo-sacra posterior  1 nivel</v>
      </c>
      <c r="G47" s="58">
        <f>'0408030'!C38</f>
        <v>470</v>
      </c>
      <c r="H47" s="59" t="str">
        <f>'por medico'!A21</f>
        <v>WAGNER DE AZEVEDO  HERCULANO</v>
      </c>
      <c r="I47" s="61"/>
      <c r="J47" s="6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5"/>
      <c r="B48" s="65"/>
      <c r="C48" s="65"/>
      <c r="D48" s="66"/>
      <c r="E48" s="51" t="s">
        <v>254</v>
      </c>
      <c r="F48" s="55" t="str">
        <f>'0408030'!B66</f>
        <v>ressecção de elemento vertebral posterior /postero-lateral /distal a C2 ( até 2 segmentos)</v>
      </c>
      <c r="G48" s="58">
        <f>'0408030'!C66</f>
        <v>288</v>
      </c>
      <c r="H48" s="77" t="str">
        <f>'por medico'!A23</f>
        <v>ARTUR BASTOS ROCHA</v>
      </c>
      <c r="I48" s="71"/>
      <c r="J48" s="7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5"/>
      <c r="B49" s="65"/>
      <c r="C49" s="65"/>
      <c r="D49" s="66"/>
      <c r="E49" s="112" t="s">
        <v>287</v>
      </c>
      <c r="F49" s="117"/>
      <c r="G49" s="114"/>
      <c r="H49" s="77"/>
      <c r="I49" s="71"/>
      <c r="J49" s="7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5"/>
      <c r="B50" s="65"/>
      <c r="C50" s="65"/>
      <c r="D50" s="66"/>
      <c r="E50" s="51" t="s">
        <v>287</v>
      </c>
      <c r="F50" s="55"/>
      <c r="G50" s="58"/>
      <c r="H50" s="77"/>
      <c r="I50" s="71"/>
      <c r="J50" s="7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5"/>
      <c r="B51" s="83"/>
      <c r="C51" s="65"/>
      <c r="D51" s="66"/>
      <c r="E51" s="51" t="s">
        <v>287</v>
      </c>
      <c r="F51" s="55"/>
      <c r="G51" s="58"/>
      <c r="H51" s="85"/>
      <c r="I51" s="86"/>
      <c r="J51" s="8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02"/>
      <c r="B52" s="89"/>
      <c r="C52" s="89"/>
      <c r="D52" s="89"/>
      <c r="E52" s="90" t="s">
        <v>287</v>
      </c>
      <c r="F52" s="28" t="s">
        <v>292</v>
      </c>
      <c r="G52" s="91">
        <f>SUM(G47:G51)</f>
        <v>758</v>
      </c>
      <c r="H52" s="92"/>
      <c r="I52" s="89"/>
      <c r="J52" s="9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04">
        <v>8.0</v>
      </c>
      <c r="B53" s="44" t="s">
        <v>402</v>
      </c>
      <c r="C53" s="109">
        <v>46205.0</v>
      </c>
      <c r="D53" s="40">
        <v>1.4123228E7</v>
      </c>
      <c r="E53" s="112" t="s">
        <v>403</v>
      </c>
      <c r="F53" s="117" t="str">
        <f>'0403030'!B20</f>
        <v>microcirurgia de tumor medular    técnica complementar</v>
      </c>
      <c r="G53" s="114">
        <f>'0403030'!C20</f>
        <v>1540.56</v>
      </c>
      <c r="H53" s="77" t="str">
        <f>'por medico'!A21</f>
        <v>WAGNER DE AZEVEDO  HERCULANO</v>
      </c>
      <c r="I53" s="61"/>
      <c r="J53" s="61" t="s">
        <v>175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5"/>
      <c r="B54" s="65"/>
      <c r="C54" s="65"/>
      <c r="D54" s="66"/>
      <c r="E54" s="112" t="s">
        <v>325</v>
      </c>
      <c r="F54" s="113" t="str">
        <f>'0403010'!B38</f>
        <v>tratamento cirurgico de fistula liquorica raquidiana</v>
      </c>
      <c r="G54" s="114">
        <f>'0403010'!C38</f>
        <v>671.94</v>
      </c>
      <c r="H54" s="1" t="str">
        <f>'por medico'!A17</f>
        <v>EDUARDO VARJÃO VIEIRA </v>
      </c>
      <c r="I54" s="71"/>
      <c r="J54" s="7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5"/>
      <c r="B55" s="65"/>
      <c r="C55" s="65"/>
      <c r="D55" s="66"/>
      <c r="E55" s="112" t="s">
        <v>400</v>
      </c>
      <c r="F55" s="117" t="str">
        <f>'0408030'!B38</f>
        <v>artrodese toraco-lombo-sacra posterior  1 nivel</v>
      </c>
      <c r="G55" s="114">
        <f>'0408030'!C38</f>
        <v>470</v>
      </c>
      <c r="H55" s="77"/>
      <c r="I55" s="71"/>
      <c r="J55" s="7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5"/>
      <c r="B56" s="65"/>
      <c r="C56" s="65"/>
      <c r="D56" s="66"/>
      <c r="E56" s="51" t="s">
        <v>336</v>
      </c>
      <c r="F56" s="55" t="str">
        <f>'0408030'!B65</f>
        <v>ressecção de elemento vertebral posterior /postero-lateral /distal a C2 (mais de 2 segmentos)</v>
      </c>
      <c r="G56" s="58">
        <f>'0408030'!C65</f>
        <v>345.6</v>
      </c>
      <c r="H56" s="77"/>
      <c r="I56" s="71"/>
      <c r="J56" s="7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5"/>
      <c r="B57" s="83"/>
      <c r="C57" s="65"/>
      <c r="D57" s="66"/>
      <c r="E57" s="51" t="s">
        <v>287</v>
      </c>
      <c r="F57" s="55"/>
      <c r="G57" s="58"/>
      <c r="H57" s="85"/>
      <c r="I57" s="86"/>
      <c r="J57" s="8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02"/>
      <c r="B58" s="89"/>
      <c r="C58" s="89"/>
      <c r="D58" s="89"/>
      <c r="E58" s="90" t="s">
        <v>287</v>
      </c>
      <c r="F58" s="28" t="s">
        <v>292</v>
      </c>
      <c r="G58" s="91">
        <f>SUM(G53:G57)</f>
        <v>3028.1</v>
      </c>
      <c r="H58" s="92"/>
      <c r="I58" s="89"/>
      <c r="J58" s="9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04">
        <v>9.0</v>
      </c>
      <c r="B59" s="44" t="s">
        <v>421</v>
      </c>
      <c r="C59" s="109">
        <v>46204.0</v>
      </c>
      <c r="D59" s="104">
        <v>2.0051595E7</v>
      </c>
      <c r="E59" s="51" t="s">
        <v>423</v>
      </c>
      <c r="F59" s="55" t="str">
        <f>'0408030'!B22</f>
        <v>artrodese cervical anterior  4 niveis </v>
      </c>
      <c r="G59" s="58">
        <f>'0408030'!C22</f>
        <v>1155.78</v>
      </c>
      <c r="H59" s="59" t="str">
        <f>'por medico'!A23</f>
        <v>ARTUR BASTOS ROCHA</v>
      </c>
      <c r="I59" s="61"/>
      <c r="J59" s="61" t="s">
        <v>175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5"/>
      <c r="B60" s="65"/>
      <c r="C60" s="65"/>
      <c r="D60" s="66"/>
      <c r="E60" s="112" t="s">
        <v>429</v>
      </c>
      <c r="F60" s="117" t="str">
        <f>'0408030'!B76</f>
        <v>revisão de artrodese / tratamento cirurgico  de pseudoartrose da coluna  cervical anterior</v>
      </c>
      <c r="G60" s="114">
        <f>'0408030'!C76</f>
        <v>470</v>
      </c>
      <c r="H60" s="68" t="str">
        <f>'por medico'!A17</f>
        <v>EDUARDO VARJÃO VIEIRA </v>
      </c>
      <c r="I60" s="71"/>
      <c r="J60" s="7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5"/>
      <c r="B61" s="65"/>
      <c r="C61" s="65"/>
      <c r="D61" s="66"/>
      <c r="E61" s="112" t="s">
        <v>434</v>
      </c>
      <c r="F61" s="117" t="str">
        <f>'0408030'!B63</f>
        <v>ressecção de 2 ou mais corpos vertebrais toraco-lombo-sacros</v>
      </c>
      <c r="G61" s="114">
        <f>'0408030'!C63</f>
        <v>611</v>
      </c>
      <c r="H61" s="77"/>
      <c r="I61" s="71"/>
      <c r="J61" s="7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5"/>
      <c r="B62" s="65"/>
      <c r="C62" s="65"/>
      <c r="D62" s="66"/>
      <c r="E62" s="51" t="s">
        <v>287</v>
      </c>
      <c r="F62" s="55"/>
      <c r="G62" s="58"/>
      <c r="H62" s="77"/>
      <c r="I62" s="71"/>
      <c r="J62" s="7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5"/>
      <c r="B63" s="83"/>
      <c r="C63" s="65"/>
      <c r="D63" s="66"/>
      <c r="E63" s="51" t="s">
        <v>287</v>
      </c>
      <c r="F63" s="55"/>
      <c r="G63" s="58"/>
      <c r="H63" s="77"/>
      <c r="I63" s="71"/>
      <c r="J63" s="8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03"/>
      <c r="B64" s="103"/>
      <c r="C64" s="103"/>
      <c r="D64" s="103"/>
      <c r="E64" s="120" t="s">
        <v>287</v>
      </c>
      <c r="F64" s="28" t="s">
        <v>292</v>
      </c>
      <c r="G64" s="91">
        <f>SUM(G59:G63)</f>
        <v>2236.78</v>
      </c>
      <c r="H64" s="92"/>
      <c r="I64" s="89"/>
      <c r="J64" s="9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40">
        <v>10.0</v>
      </c>
      <c r="B65" s="44" t="s">
        <v>439</v>
      </c>
      <c r="C65" s="109">
        <v>46204.0</v>
      </c>
      <c r="D65" s="104">
        <v>2.0166112E7</v>
      </c>
      <c r="E65" s="51" t="s">
        <v>440</v>
      </c>
      <c r="F65" s="96" t="str">
        <f>'0403010'!B31</f>
        <v>tratamento cirurgico de abcesso intracraniano</v>
      </c>
      <c r="G65" s="58">
        <f>'0403010'!C31</f>
        <v>559.95</v>
      </c>
      <c r="H65" s="59" t="str">
        <f>'por medico'!A17</f>
        <v>EDUARDO VARJÃO VIEIRA </v>
      </c>
      <c r="I65" s="61"/>
      <c r="J65" s="6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5"/>
      <c r="B66" s="65"/>
      <c r="C66" s="65"/>
      <c r="D66" s="66"/>
      <c r="E66" s="51" t="s">
        <v>441</v>
      </c>
      <c r="F66" s="96" t="str">
        <f>'0403010'!B29</f>
        <v>retirada de placa de cranioplastia</v>
      </c>
      <c r="G66" s="58">
        <f>'0403010'!C29</f>
        <v>391.86</v>
      </c>
      <c r="H66" s="121" t="str">
        <f>'por medico'!A23</f>
        <v>ARTUR BASTOS ROCHA</v>
      </c>
      <c r="I66" s="71"/>
      <c r="J66" s="7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2"/>
      <c r="B67" s="65"/>
      <c r="C67" s="72"/>
      <c r="D67" s="75"/>
      <c r="E67" s="51" t="s">
        <v>287</v>
      </c>
      <c r="F67" s="55"/>
      <c r="G67" s="58"/>
      <c r="H67" s="77"/>
      <c r="I67" s="71"/>
      <c r="J67" s="7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5"/>
      <c r="B68" s="65"/>
      <c r="C68" s="65"/>
      <c r="D68" s="66"/>
      <c r="E68" s="112" t="s">
        <v>287</v>
      </c>
      <c r="F68" s="117"/>
      <c r="G68" s="114"/>
      <c r="H68" s="77"/>
      <c r="I68" s="71"/>
      <c r="J68" s="7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83"/>
      <c r="B69" s="83"/>
      <c r="C69" s="83"/>
      <c r="D69" s="122"/>
      <c r="E69" s="51" t="s">
        <v>287</v>
      </c>
      <c r="F69" s="55"/>
      <c r="G69" s="58"/>
      <c r="H69" s="85"/>
      <c r="I69" s="86"/>
      <c r="J69" s="8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03"/>
      <c r="B70" s="103"/>
      <c r="C70" s="103"/>
      <c r="D70" s="103"/>
      <c r="E70" s="120" t="s">
        <v>287</v>
      </c>
      <c r="F70" s="28" t="s">
        <v>292</v>
      </c>
      <c r="G70" s="91">
        <f>SUM(G65:G69)</f>
        <v>951.81</v>
      </c>
      <c r="H70" s="92"/>
      <c r="I70" s="89"/>
      <c r="J70" s="9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04">
        <v>11.0</v>
      </c>
      <c r="B71" s="44" t="s">
        <v>442</v>
      </c>
      <c r="C71" s="109">
        <v>46572.0</v>
      </c>
      <c r="D71" s="104">
        <v>1.5673171E7</v>
      </c>
      <c r="E71" s="51" t="s">
        <v>443</v>
      </c>
      <c r="F71" s="55" t="str">
        <f>'0403020'!B13</f>
        <v>enxerto microcirurgico  de nervo periferico ( 2 ou mais nervos)</v>
      </c>
      <c r="G71" s="58">
        <f>'0403020'!C13</f>
        <v>500.5</v>
      </c>
      <c r="H71" s="59" t="str">
        <f>'por medico'!A19</f>
        <v>PEDRO HENRIQUE V.  PONDÉ DE SENA</v>
      </c>
      <c r="I71" s="61"/>
      <c r="J71" s="6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65"/>
      <c r="B72" s="65"/>
      <c r="C72" s="65"/>
      <c r="D72" s="66"/>
      <c r="E72" s="51" t="s">
        <v>444</v>
      </c>
      <c r="F72" s="55" t="str">
        <f>'0403020'!B16</f>
        <v>microcirurgia de plexo braquial com microenxertia</v>
      </c>
      <c r="G72" s="58">
        <f>'0403020'!C16</f>
        <v>441.84</v>
      </c>
      <c r="H72" s="68" t="str">
        <f>'por medico'!A23</f>
        <v>ARTUR BASTOS ROCHA</v>
      </c>
      <c r="I72" s="71"/>
      <c r="J72" s="7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5"/>
      <c r="B73" s="65"/>
      <c r="C73" s="65"/>
      <c r="D73" s="66"/>
      <c r="E73" s="51" t="s">
        <v>445</v>
      </c>
      <c r="F73" s="55" t="str">
        <f>'0403020'!B18</f>
        <v>microneurrafia</v>
      </c>
      <c r="G73" s="58">
        <f>'0403020'!C18</f>
        <v>321.75</v>
      </c>
      <c r="H73" s="77"/>
      <c r="I73" s="71"/>
      <c r="J73" s="7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5"/>
      <c r="B74" s="65"/>
      <c r="C74" s="65"/>
      <c r="D74" s="66"/>
      <c r="E74" s="51" t="s">
        <v>247</v>
      </c>
      <c r="F74" s="55" t="str">
        <f>'0403020'!B23</f>
        <v>tratamento cirurgico  de neuropatia compressiva com ou sem microcirurgia</v>
      </c>
      <c r="G74" s="58">
        <f>'0403020'!C23</f>
        <v>560</v>
      </c>
      <c r="H74" s="77"/>
      <c r="I74" s="71"/>
      <c r="J74" s="7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65"/>
      <c r="B75" s="83"/>
      <c r="C75" s="65"/>
      <c r="D75" s="66"/>
      <c r="E75" s="51" t="s">
        <v>447</v>
      </c>
      <c r="F75" s="55" t="str">
        <f>'0403020'!B17</f>
        <v>microneurolise de nervo periferico</v>
      </c>
      <c r="G75" s="58">
        <f>'0403020'!C17</f>
        <v>214.5</v>
      </c>
      <c r="H75" s="85"/>
      <c r="I75" s="86"/>
      <c r="J75" s="8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03"/>
      <c r="B76" s="103"/>
      <c r="C76" s="103"/>
      <c r="D76" s="103"/>
      <c r="E76" s="120" t="s">
        <v>287</v>
      </c>
      <c r="F76" s="28" t="s">
        <v>292</v>
      </c>
      <c r="G76" s="91">
        <f>SUM(G71:G75)</f>
        <v>2038.59</v>
      </c>
      <c r="H76" s="92"/>
      <c r="I76" s="89"/>
      <c r="J76" s="10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04">
        <v>12.0</v>
      </c>
      <c r="B77" s="44" t="s">
        <v>448</v>
      </c>
      <c r="C77" s="109">
        <v>46206.0</v>
      </c>
      <c r="D77" s="104">
        <v>1.0477966E7</v>
      </c>
      <c r="E77" s="51" t="s">
        <v>449</v>
      </c>
      <c r="F77" s="55" t="str">
        <f>'outros codigos'!B71</f>
        <v>Tratamento Clinico de Abscesso Cerebral</v>
      </c>
      <c r="G77" s="58">
        <f>'outros codigos'!C71</f>
        <v>84.36</v>
      </c>
      <c r="H77" s="116" t="str">
        <f>'por medico'!A21</f>
        <v>WAGNER DE AZEVEDO  HERCULANO</v>
      </c>
      <c r="I77" s="61"/>
      <c r="J77" s="61" t="s">
        <v>175</v>
      </c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65"/>
      <c r="B78" s="65"/>
      <c r="C78" s="65"/>
      <c r="D78" s="66"/>
      <c r="E78" s="51" t="s">
        <v>287</v>
      </c>
      <c r="F78" s="55"/>
      <c r="G78" s="58"/>
      <c r="H78" s="68" t="str">
        <f>'por medico'!A23</f>
        <v>ARTUR BASTOS ROCHA</v>
      </c>
      <c r="I78" s="71"/>
      <c r="J78" s="7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5"/>
      <c r="B79" s="65"/>
      <c r="C79" s="65"/>
      <c r="D79" s="66"/>
      <c r="E79" s="112" t="s">
        <v>287</v>
      </c>
      <c r="F79" s="117"/>
      <c r="G79" s="114"/>
      <c r="H79" s="77"/>
      <c r="I79" s="71"/>
      <c r="J79" s="7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5"/>
      <c r="B80" s="65"/>
      <c r="C80" s="65"/>
      <c r="D80" s="66"/>
      <c r="E80" s="112" t="s">
        <v>287</v>
      </c>
      <c r="F80" s="117"/>
      <c r="G80" s="114"/>
      <c r="H80" s="77"/>
      <c r="I80" s="71"/>
      <c r="J80" s="7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5"/>
      <c r="B81" s="83"/>
      <c r="C81" s="65"/>
      <c r="D81" s="66"/>
      <c r="E81" s="51" t="s">
        <v>287</v>
      </c>
      <c r="F81" s="55"/>
      <c r="G81" s="58"/>
      <c r="H81" s="85"/>
      <c r="I81" s="86"/>
      <c r="J81" s="8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02"/>
      <c r="B82" s="89"/>
      <c r="C82" s="89"/>
      <c r="D82" s="89"/>
      <c r="E82" s="90" t="s">
        <v>287</v>
      </c>
      <c r="F82" s="28" t="s">
        <v>292</v>
      </c>
      <c r="G82" s="91">
        <f>SUM(G77:G81)</f>
        <v>84.36</v>
      </c>
      <c r="H82" s="92"/>
      <c r="I82" s="89"/>
      <c r="J82" s="9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04">
        <v>13.0</v>
      </c>
      <c r="B83" s="44" t="s">
        <v>450</v>
      </c>
      <c r="C83" s="109">
        <v>46208.0</v>
      </c>
      <c r="D83" s="104">
        <v>1.0274421E7</v>
      </c>
      <c r="E83" s="112" t="s">
        <v>451</v>
      </c>
      <c r="F83" s="117" t="str">
        <f>'0403030'!B23</f>
        <v>microcirurgia de tumor de base do cranio</v>
      </c>
      <c r="G83" s="114">
        <f>'0403030'!C23</f>
        <v>1865.92</v>
      </c>
      <c r="H83" s="59" t="str">
        <f>'por medico'!A21</f>
        <v>WAGNER DE AZEVEDO  HERCULANO</v>
      </c>
      <c r="I83" s="61"/>
      <c r="J83" s="61" t="s">
        <v>175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5"/>
      <c r="B84" s="65"/>
      <c r="C84" s="65"/>
      <c r="D84" s="66"/>
      <c r="E84" s="112" t="s">
        <v>352</v>
      </c>
      <c r="F84" s="113" t="str">
        <f>'0403010'!B37</f>
        <v>tratamento cirurgico de fistula liquorica craniana</v>
      </c>
      <c r="G84" s="114">
        <f>'0403010'!C37</f>
        <v>671.94</v>
      </c>
      <c r="H84" s="68" t="str">
        <f>'por medico'!A14</f>
        <v>CAMILA MOURA DE SOUSA</v>
      </c>
      <c r="I84" s="71"/>
      <c r="J84" s="7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5"/>
      <c r="B85" s="65"/>
      <c r="C85" s="65"/>
      <c r="D85" s="66"/>
      <c r="E85" s="112" t="s">
        <v>455</v>
      </c>
      <c r="F85" s="113" t="str">
        <f>'0403010'!B26</f>
        <v>reconstução craniama /cranio-facial</v>
      </c>
      <c r="G85" s="114">
        <f>'0403010'!C26</f>
        <v>671.94</v>
      </c>
      <c r="H85" s="77"/>
      <c r="I85" s="71"/>
      <c r="J85" s="7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65"/>
      <c r="B86" s="65"/>
      <c r="C86" s="65"/>
      <c r="D86" s="66"/>
      <c r="E86" s="51" t="s">
        <v>456</v>
      </c>
      <c r="F86" s="96" t="str">
        <f>'0403030'!B16</f>
        <v>Craniotomia para retirada de tumor intracraniano</v>
      </c>
      <c r="G86" s="58">
        <f>'0403030'!C16</f>
        <v>554.4</v>
      </c>
      <c r="H86" s="77"/>
      <c r="I86" s="71"/>
      <c r="J86" s="7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65"/>
      <c r="B87" s="83"/>
      <c r="C87" s="65"/>
      <c r="D87" s="66"/>
      <c r="E87" s="51" t="s">
        <v>287</v>
      </c>
      <c r="F87" s="55"/>
      <c r="G87" s="58"/>
      <c r="H87" s="85"/>
      <c r="I87" s="86"/>
      <c r="J87" s="8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02"/>
      <c r="B88" s="89"/>
      <c r="C88" s="89"/>
      <c r="D88" s="89"/>
      <c r="E88" s="90" t="s">
        <v>287</v>
      </c>
      <c r="F88" s="28" t="s">
        <v>292</v>
      </c>
      <c r="G88" s="91">
        <f>SUM(G83:G87)</f>
        <v>3764.2</v>
      </c>
      <c r="H88" s="92"/>
      <c r="I88" s="89"/>
      <c r="J88" s="9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04">
        <v>14.0</v>
      </c>
      <c r="B89" s="47" t="s">
        <v>457</v>
      </c>
      <c r="C89" s="109">
        <v>46209.0</v>
      </c>
      <c r="D89" s="104">
        <v>2.0319273E7</v>
      </c>
      <c r="E89" s="112" t="s">
        <v>352</v>
      </c>
      <c r="F89" s="113" t="str">
        <f>'0403010'!B37</f>
        <v>tratamento cirurgico de fistula liquorica craniana</v>
      </c>
      <c r="G89" s="114">
        <f>'0403010'!C37</f>
        <v>671.94</v>
      </c>
      <c r="H89" s="59" t="str">
        <f>'por medico'!A14</f>
        <v>CAMILA MOURA DE SOUSA</v>
      </c>
      <c r="I89" s="61"/>
      <c r="J89" s="61" t="s">
        <v>175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5"/>
      <c r="B90" s="65"/>
      <c r="C90" s="65"/>
      <c r="D90" s="66"/>
      <c r="E90" s="112" t="s">
        <v>455</v>
      </c>
      <c r="F90" s="113" t="str">
        <f>'0403010'!B26</f>
        <v>reconstução craniama /cranio-facial</v>
      </c>
      <c r="G90" s="114">
        <f>'0403010'!C26</f>
        <v>671.94</v>
      </c>
      <c r="H90" s="68" t="str">
        <f>'por medico'!A21</f>
        <v>WAGNER DE AZEVEDO  HERCULANO</v>
      </c>
      <c r="I90" s="71"/>
      <c r="J90" s="7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65"/>
      <c r="B91" s="65"/>
      <c r="C91" s="65"/>
      <c r="D91" s="66"/>
      <c r="E91" s="112" t="s">
        <v>387</v>
      </c>
      <c r="F91" s="113" t="str">
        <f>'0403010'!B41</f>
        <v>tratamento cirurgico de hematoma intracerebral</v>
      </c>
      <c r="G91" s="114">
        <f>'0403010'!C41</f>
        <v>488.99</v>
      </c>
      <c r="H91" s="77"/>
      <c r="I91" s="71"/>
      <c r="J91" s="7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65"/>
      <c r="B92" s="65"/>
      <c r="C92" s="65"/>
      <c r="D92" s="66"/>
      <c r="E92" s="51" t="s">
        <v>287</v>
      </c>
      <c r="F92" s="55"/>
      <c r="G92" s="58"/>
      <c r="H92" s="77"/>
      <c r="I92" s="71"/>
      <c r="J92" s="7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65"/>
      <c r="B93" s="83"/>
      <c r="C93" s="65"/>
      <c r="D93" s="66"/>
      <c r="E93" s="51" t="s">
        <v>287</v>
      </c>
      <c r="F93" s="55"/>
      <c r="G93" s="58"/>
      <c r="H93" s="85"/>
      <c r="I93" s="86"/>
      <c r="J93" s="8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02"/>
      <c r="B94" s="89"/>
      <c r="C94" s="89"/>
      <c r="D94" s="89"/>
      <c r="E94" s="90" t="s">
        <v>287</v>
      </c>
      <c r="F94" s="28" t="s">
        <v>292</v>
      </c>
      <c r="G94" s="91">
        <f>SUM(G89:G93)</f>
        <v>1832.87</v>
      </c>
      <c r="H94" s="92"/>
      <c r="I94" s="89"/>
      <c r="J94" s="9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40">
        <v>15.0</v>
      </c>
      <c r="B95" s="44" t="s">
        <v>467</v>
      </c>
      <c r="C95" s="109">
        <v>46211.0</v>
      </c>
      <c r="D95" s="104">
        <v>2.0275442E7</v>
      </c>
      <c r="E95" s="112" t="s">
        <v>468</v>
      </c>
      <c r="F95" s="117" t="str">
        <f>'0403040'!B21</f>
        <v>microcirurgia  para aneurisma da circulaço cerebral anterior menor  que 1,5 cm</v>
      </c>
      <c r="G95" s="114">
        <f>'0403040'!C21</f>
        <v>1568</v>
      </c>
      <c r="H95" s="116" t="str">
        <f>'por medico'!A15</f>
        <v>JAQUISSON  DE DEUS GUIMARÃES FILHO</v>
      </c>
      <c r="I95" s="61"/>
      <c r="J95" s="61" t="s">
        <v>175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65"/>
      <c r="B96" s="65"/>
      <c r="C96" s="65"/>
      <c r="D96" s="66"/>
      <c r="E96" s="112" t="s">
        <v>352</v>
      </c>
      <c r="F96" s="113" t="str">
        <f>'0403010'!B37</f>
        <v>tratamento cirurgico de fistula liquorica craniana</v>
      </c>
      <c r="G96" s="114">
        <f>'0403010'!C37</f>
        <v>671.94</v>
      </c>
      <c r="H96" s="68" t="str">
        <f>'por medico'!A21</f>
        <v>WAGNER DE AZEVEDO  HERCULANO</v>
      </c>
      <c r="I96" s="71"/>
      <c r="J96" s="7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5"/>
      <c r="B97" s="65"/>
      <c r="C97" s="65"/>
      <c r="D97" s="66"/>
      <c r="E97" s="112" t="s">
        <v>455</v>
      </c>
      <c r="F97" s="113" t="str">
        <f>'0403010'!B26</f>
        <v>reconstução craniama /cranio-facial</v>
      </c>
      <c r="G97" s="114">
        <f>'0403010'!C26</f>
        <v>671.94</v>
      </c>
      <c r="H97" s="77"/>
      <c r="I97" s="71"/>
      <c r="J97" s="7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5"/>
      <c r="B98" s="65"/>
      <c r="C98" s="65"/>
      <c r="D98" s="66"/>
      <c r="E98" s="51" t="s">
        <v>287</v>
      </c>
      <c r="F98" s="55"/>
      <c r="G98" s="58"/>
      <c r="H98" s="77"/>
      <c r="I98" s="71"/>
      <c r="J98" s="7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5"/>
      <c r="B99" s="83"/>
      <c r="C99" s="65"/>
      <c r="D99" s="66"/>
      <c r="E99" s="51" t="s">
        <v>287</v>
      </c>
      <c r="F99" s="55"/>
      <c r="G99" s="58"/>
      <c r="H99" s="85"/>
      <c r="I99" s="86"/>
      <c r="J99" s="8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02"/>
      <c r="B100" s="89"/>
      <c r="C100" s="89"/>
      <c r="D100" s="89"/>
      <c r="E100" s="90" t="s">
        <v>287</v>
      </c>
      <c r="F100" s="28" t="s">
        <v>292</v>
      </c>
      <c r="G100" s="91">
        <f>SUM(G95:G99)</f>
        <v>2911.88</v>
      </c>
      <c r="H100" s="92"/>
      <c r="I100" s="89"/>
      <c r="J100" s="9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04">
        <v>16.0</v>
      </c>
      <c r="B101" s="44" t="s">
        <v>488</v>
      </c>
      <c r="C101" s="109">
        <v>46212.0</v>
      </c>
      <c r="D101" s="104">
        <v>4234761.0</v>
      </c>
      <c r="E101" s="112" t="s">
        <v>400</v>
      </c>
      <c r="F101" s="117" t="str">
        <f>'0408030'!B38</f>
        <v>artrodese toraco-lombo-sacra posterior  1 nivel</v>
      </c>
      <c r="G101" s="114">
        <f>'0408030'!C38</f>
        <v>470</v>
      </c>
      <c r="H101" s="59" t="str">
        <f>'por medico'!A21</f>
        <v>WAGNER DE AZEVEDO  HERCULANO</v>
      </c>
      <c r="I101" s="61"/>
      <c r="J101" s="61" t="s">
        <v>175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65"/>
      <c r="B102" s="65"/>
      <c r="C102" s="65"/>
      <c r="D102" s="66"/>
      <c r="E102" s="112" t="s">
        <v>196</v>
      </c>
      <c r="F102" s="117" t="str">
        <f>'0408030'!B25</f>
        <v>artrodese intersomatica vias posterior /postero lateral  1 nivel </v>
      </c>
      <c r="G102" s="114">
        <f>'0408030'!C25</f>
        <v>611</v>
      </c>
      <c r="H102" s="68" t="str">
        <f>'por medico'!A17</f>
        <v>EDUARDO VARJÃO VIEIRA </v>
      </c>
      <c r="I102" s="71"/>
      <c r="J102" s="7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5"/>
      <c r="B103" s="65"/>
      <c r="C103" s="65"/>
      <c r="D103" s="66"/>
      <c r="E103" s="112" t="s">
        <v>246</v>
      </c>
      <c r="F103" s="117" t="str">
        <f>'0408030'!B51</f>
        <v>disectomia cervical/lombar/lombo-sacra por via posterior (1 nivel com microscopio)</v>
      </c>
      <c r="G103" s="114">
        <f>'0408030'!C51</f>
        <v>470</v>
      </c>
      <c r="H103" s="77"/>
      <c r="I103" s="71"/>
      <c r="J103" s="7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65"/>
      <c r="B104" s="65"/>
      <c r="C104" s="65"/>
      <c r="D104" s="66"/>
      <c r="E104" s="51" t="s">
        <v>247</v>
      </c>
      <c r="F104" s="55" t="str">
        <f>'0403020'!B23</f>
        <v>tratamento cirurgico  de neuropatia compressiva com ou sem microcirurgia</v>
      </c>
      <c r="G104" s="58">
        <f>'0403020'!C23</f>
        <v>560</v>
      </c>
      <c r="H104" s="77"/>
      <c r="I104" s="71"/>
      <c r="J104" s="7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65"/>
      <c r="B105" s="83"/>
      <c r="C105" s="65"/>
      <c r="D105" s="66"/>
      <c r="E105" s="51" t="s">
        <v>287</v>
      </c>
      <c r="F105" s="55"/>
      <c r="G105" s="58"/>
      <c r="H105" s="85"/>
      <c r="I105" s="86"/>
      <c r="J105" s="8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03"/>
      <c r="B106" s="103"/>
      <c r="C106" s="103"/>
      <c r="D106" s="102"/>
      <c r="E106" s="120" t="s">
        <v>287</v>
      </c>
      <c r="F106" s="28" t="s">
        <v>292</v>
      </c>
      <c r="G106" s="91">
        <f>SUM(G101:G105)</f>
        <v>2111</v>
      </c>
      <c r="H106" s="92"/>
      <c r="I106" s="89"/>
      <c r="J106" s="9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04">
        <v>17.0</v>
      </c>
      <c r="B107" s="138" t="s">
        <v>523</v>
      </c>
      <c r="C107" s="109">
        <v>46207.0</v>
      </c>
      <c r="D107" s="139">
        <v>2.9297966E7</v>
      </c>
      <c r="E107" s="112" t="s">
        <v>543</v>
      </c>
      <c r="F107" s="117" t="str">
        <f>'0408030'!B17</f>
        <v>artrodese cervical /cervico toráxica posterior 3 niveis </v>
      </c>
      <c r="G107" s="114">
        <f>'0408030'!C17</f>
        <v>1155.78</v>
      </c>
      <c r="H107" s="59" t="str">
        <f>'por medico'!A23</f>
        <v>ARTUR BASTOS ROCHA</v>
      </c>
      <c r="I107" s="61"/>
      <c r="J107" s="61" t="s">
        <v>175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65"/>
      <c r="B108" s="140"/>
      <c r="C108" s="65"/>
      <c r="D108" s="139"/>
      <c r="E108" s="112" t="s">
        <v>325</v>
      </c>
      <c r="F108" s="113" t="str">
        <f>'0403010'!B38</f>
        <v>tratamento cirurgico de fistula liquorica raquidiana</v>
      </c>
      <c r="G108" s="114">
        <f>'0403010'!C38</f>
        <v>671.94</v>
      </c>
      <c r="H108" s="68" t="str">
        <f>'por medico'!A19</f>
        <v>PEDRO HENRIQUE V.  PONDÉ DE SENA</v>
      </c>
      <c r="I108" s="71"/>
      <c r="J108" s="7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65"/>
      <c r="B109" s="140"/>
      <c r="C109" s="65"/>
      <c r="D109" s="139"/>
      <c r="E109" s="112" t="s">
        <v>247</v>
      </c>
      <c r="F109" s="117" t="str">
        <f>'0403020'!B23</f>
        <v>tratamento cirurgico  de neuropatia compressiva com ou sem microcirurgia</v>
      </c>
      <c r="G109" s="114">
        <f>'0403020'!C23</f>
        <v>560</v>
      </c>
      <c r="H109" s="77"/>
      <c r="I109" s="71"/>
      <c r="J109" s="7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65"/>
      <c r="B110" s="140"/>
      <c r="C110" s="65"/>
      <c r="D110" s="139"/>
      <c r="E110" s="51" t="s">
        <v>336</v>
      </c>
      <c r="F110" s="55" t="str">
        <f>'0408030'!B65</f>
        <v>ressecção de elemento vertebral posterior /postero-lateral /distal a C2 (mais de 2 segmentos)</v>
      </c>
      <c r="G110" s="58">
        <f>'0408030'!C65</f>
        <v>345.6</v>
      </c>
      <c r="H110" s="68"/>
      <c r="I110" s="71"/>
      <c r="J110" s="7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83"/>
      <c r="B111" s="140"/>
      <c r="C111" s="83"/>
      <c r="D111" s="139"/>
      <c r="E111" s="51" t="s">
        <v>287</v>
      </c>
      <c r="F111" s="55"/>
      <c r="G111" s="58"/>
      <c r="H111" s="85"/>
      <c r="I111" s="86"/>
      <c r="J111" s="8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03"/>
      <c r="B112" s="103"/>
      <c r="C112" s="103"/>
      <c r="D112" s="102"/>
      <c r="E112" s="120" t="s">
        <v>287</v>
      </c>
      <c r="F112" s="28" t="s">
        <v>292</v>
      </c>
      <c r="G112" s="91">
        <f>SUM(G107:G111)</f>
        <v>2733.32</v>
      </c>
      <c r="H112" s="92"/>
      <c r="I112" s="89"/>
      <c r="J112" s="9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04">
        <v>18.0</v>
      </c>
      <c r="B113" s="47" t="s">
        <v>577</v>
      </c>
      <c r="C113" s="109">
        <v>46211.0</v>
      </c>
      <c r="D113" s="104">
        <v>2.0329637E7</v>
      </c>
      <c r="E113" s="112" t="s">
        <v>343</v>
      </c>
      <c r="F113" s="117" t="str">
        <f>'0403010'!B44</f>
        <v>Tratamento cirurgico de hematoma subdural cronico</v>
      </c>
      <c r="G113" s="114">
        <f>'0403010'!C44</f>
        <v>682.08</v>
      </c>
      <c r="H113" s="59" t="str">
        <f>'por medico'!A23</f>
        <v>ARTUR BASTOS ROCHA</v>
      </c>
      <c r="I113" s="61"/>
      <c r="J113" s="61" t="s">
        <v>175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65"/>
      <c r="B114" s="65"/>
      <c r="C114" s="65"/>
      <c r="D114" s="66"/>
      <c r="E114" s="112" t="s">
        <v>398</v>
      </c>
      <c r="F114" s="113" t="str">
        <f>'0403010'!B21</f>
        <v>derivação ventricular externa -subgaleal  externa</v>
      </c>
      <c r="G114" s="114">
        <f>'0403010'!C21</f>
        <v>286</v>
      </c>
      <c r="H114" s="68" t="str">
        <f>'por medico'!A21</f>
        <v>WAGNER DE AZEVEDO  HERCULANO</v>
      </c>
      <c r="I114" s="71"/>
      <c r="J114" s="7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65"/>
      <c r="B115" s="65"/>
      <c r="C115" s="65"/>
      <c r="D115" s="66"/>
      <c r="E115" s="112" t="s">
        <v>339</v>
      </c>
      <c r="F115" s="113" t="str">
        <f>'0403010'!B49</f>
        <v>trepanação craniana para punção ou biopsia   </v>
      </c>
      <c r="G115" s="114">
        <f>'0403010'!C49</f>
        <v>107.52</v>
      </c>
      <c r="H115" s="77"/>
      <c r="I115" s="71"/>
      <c r="J115" s="7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65"/>
      <c r="B116" s="65"/>
      <c r="C116" s="65"/>
      <c r="D116" s="66"/>
      <c r="E116" s="51" t="s">
        <v>287</v>
      </c>
      <c r="F116" s="55"/>
      <c r="G116" s="58"/>
      <c r="H116" s="77"/>
      <c r="I116" s="71"/>
      <c r="J116" s="7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65"/>
      <c r="B117" s="83"/>
      <c r="C117" s="65"/>
      <c r="D117" s="66"/>
      <c r="E117" s="51" t="s">
        <v>287</v>
      </c>
      <c r="F117" s="55"/>
      <c r="G117" s="58"/>
      <c r="H117" s="85"/>
      <c r="I117" s="86"/>
      <c r="J117" s="8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02"/>
      <c r="B118" s="89"/>
      <c r="C118" s="89"/>
      <c r="D118" s="89"/>
      <c r="E118" s="90" t="s">
        <v>287</v>
      </c>
      <c r="F118" s="28" t="s">
        <v>292</v>
      </c>
      <c r="G118" s="91">
        <f>SUM(G113:G117)</f>
        <v>1075.6</v>
      </c>
      <c r="H118" s="92"/>
      <c r="I118" s="89"/>
      <c r="J118" s="9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04">
        <v>19.0</v>
      </c>
      <c r="B119" s="47" t="s">
        <v>579</v>
      </c>
      <c r="C119" s="109">
        <v>46209.0</v>
      </c>
      <c r="D119" s="104">
        <v>2.0313573E7</v>
      </c>
      <c r="E119" s="112" t="s">
        <v>580</v>
      </c>
      <c r="F119" s="113" t="str">
        <f>'0403010'!B13</f>
        <v>Cranioplastia </v>
      </c>
      <c r="G119" s="114">
        <f>'0403010'!C13</f>
        <v>522.48</v>
      </c>
      <c r="H119" s="116" t="str">
        <f>'por medico'!A14</f>
        <v>CAMILA MOURA DE SOUSA</v>
      </c>
      <c r="I119" s="61"/>
      <c r="J119" s="61" t="s">
        <v>175</v>
      </c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65"/>
      <c r="B120" s="65"/>
      <c r="C120" s="65"/>
      <c r="D120" s="66"/>
      <c r="E120" s="112" t="s">
        <v>343</v>
      </c>
      <c r="F120" s="117" t="str">
        <f>'0403010'!B44</f>
        <v>Tratamento cirurgico de hematoma subdural cronico</v>
      </c>
      <c r="G120" s="114">
        <f>'0403010'!C44</f>
        <v>682.08</v>
      </c>
      <c r="H120" s="68" t="str">
        <f>'por medico'!A21</f>
        <v>WAGNER DE AZEVEDO  HERCULANO</v>
      </c>
      <c r="I120" s="71"/>
      <c r="J120" s="71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65"/>
      <c r="B121" s="65"/>
      <c r="C121" s="65"/>
      <c r="D121" s="66"/>
      <c r="E121" s="112" t="s">
        <v>398</v>
      </c>
      <c r="F121" s="113" t="str">
        <f>'0403010'!B21</f>
        <v>derivação ventricular externa -subgaleal  externa</v>
      </c>
      <c r="G121" s="114">
        <f>'0403010'!C21</f>
        <v>286</v>
      </c>
      <c r="H121" s="77"/>
      <c r="I121" s="71"/>
      <c r="J121" s="7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65"/>
      <c r="B122" s="65"/>
      <c r="C122" s="65"/>
      <c r="D122" s="66"/>
      <c r="E122" s="51" t="s">
        <v>344</v>
      </c>
      <c r="F122" s="96" t="str">
        <f>'0403010'!B14</f>
        <v>Craniotomia descompressiva</v>
      </c>
      <c r="G122" s="58">
        <f>'0403010'!C14</f>
        <v>391.86</v>
      </c>
      <c r="H122" s="77"/>
      <c r="I122" s="71"/>
      <c r="J122" s="7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65"/>
      <c r="B123" s="83"/>
      <c r="C123" s="65"/>
      <c r="D123" s="66"/>
      <c r="E123" s="51" t="s">
        <v>339</v>
      </c>
      <c r="F123" s="96" t="str">
        <f>'0403010'!B49</f>
        <v>trepanação craniana para punção ou biopsia   </v>
      </c>
      <c r="G123" s="58">
        <f>'0403010'!C49</f>
        <v>107.52</v>
      </c>
      <c r="H123" s="85"/>
      <c r="I123" s="86"/>
      <c r="J123" s="8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02"/>
      <c r="B124" s="149"/>
      <c r="C124" s="89"/>
      <c r="D124" s="89"/>
      <c r="E124" s="90" t="s">
        <v>287</v>
      </c>
      <c r="F124" s="28" t="s">
        <v>292</v>
      </c>
      <c r="G124" s="91">
        <f>G119+G120+G121+G122+G123</f>
        <v>1989.94</v>
      </c>
      <c r="H124" s="92"/>
      <c r="I124" s="89"/>
      <c r="J124" s="9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52">
        <v>20.0</v>
      </c>
      <c r="B125" s="47" t="s">
        <v>593</v>
      </c>
      <c r="C125" s="109">
        <v>46210.0</v>
      </c>
      <c r="D125" s="104">
        <v>2.0338463E7</v>
      </c>
      <c r="E125" s="51" t="s">
        <v>594</v>
      </c>
      <c r="F125" s="96" t="str">
        <f>'0403010'!B23</f>
        <v>descompressão de orbita por doença  ou trauma</v>
      </c>
      <c r="G125" s="58">
        <f>'0403010'!C23</f>
        <v>786.5</v>
      </c>
      <c r="H125" s="59" t="str">
        <f>'por medico'!A19</f>
        <v>PEDRO HENRIQUE V.  PONDÉ DE SENA</v>
      </c>
      <c r="I125" s="61"/>
      <c r="J125" s="61" t="s">
        <v>175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54"/>
      <c r="B126" s="155"/>
      <c r="C126" s="156"/>
      <c r="D126" s="75"/>
      <c r="E126" s="51" t="s">
        <v>352</v>
      </c>
      <c r="F126" s="96" t="str">
        <f>'0403010'!B37</f>
        <v>tratamento cirurgico de fistula liquorica craniana</v>
      </c>
      <c r="G126" s="58">
        <f>'0403010'!C37</f>
        <v>671.94</v>
      </c>
      <c r="H126" s="68" t="str">
        <f>'por medico'!A14</f>
        <v>CAMILA MOURA DE SOUSA</v>
      </c>
      <c r="I126" s="71"/>
      <c r="J126" s="7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54"/>
      <c r="B127" s="65"/>
      <c r="C127" s="158"/>
      <c r="D127" s="66"/>
      <c r="E127" s="51" t="s">
        <v>605</v>
      </c>
      <c r="F127" s="96" t="str">
        <f>'0403010'!B42</f>
        <v>tratamento cirurgico de hematoma intracerebral (tecnica complementar)</v>
      </c>
      <c r="G127" s="58">
        <f>'0403010'!C42</f>
        <v>682.08</v>
      </c>
      <c r="H127" s="77"/>
      <c r="I127" s="71"/>
      <c r="J127" s="7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54"/>
      <c r="B128" s="65"/>
      <c r="C128" s="158"/>
      <c r="D128" s="66"/>
      <c r="E128" s="51" t="s">
        <v>455</v>
      </c>
      <c r="F128" s="96" t="str">
        <f>'0403010'!B26</f>
        <v>reconstução craniama /cranio-facial</v>
      </c>
      <c r="G128" s="58">
        <f>'0403010'!C26</f>
        <v>671.94</v>
      </c>
      <c r="H128" s="77"/>
      <c r="I128" s="71"/>
      <c r="J128" s="7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54"/>
      <c r="B129" s="83"/>
      <c r="C129" s="158"/>
      <c r="D129" s="66"/>
      <c r="E129" s="51" t="s">
        <v>606</v>
      </c>
      <c r="F129" s="96" t="str">
        <f>'0403010'!B39</f>
        <v>tratamento cirurgico de fratura do craniano com afundamento</v>
      </c>
      <c r="G129" s="58">
        <f>'0403010'!C39</f>
        <v>391.86</v>
      </c>
      <c r="H129" s="85"/>
      <c r="I129" s="86"/>
      <c r="J129" s="8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03"/>
      <c r="B130" s="103"/>
      <c r="C130" s="103"/>
      <c r="D130" s="103"/>
      <c r="E130" s="120" t="s">
        <v>287</v>
      </c>
      <c r="F130" s="28" t="s">
        <v>292</v>
      </c>
      <c r="G130" s="91">
        <f>SUM(G125:G129)</f>
        <v>3204.32</v>
      </c>
      <c r="H130" s="92"/>
      <c r="I130" s="89"/>
      <c r="J130" s="10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04">
        <v>21.0</v>
      </c>
      <c r="B131" s="47" t="s">
        <v>612</v>
      </c>
      <c r="C131" s="109">
        <v>46207.0</v>
      </c>
      <c r="D131" s="104">
        <v>1.8069914E7</v>
      </c>
      <c r="E131" s="112" t="s">
        <v>58</v>
      </c>
      <c r="F131" s="117" t="str">
        <f>'0408030'!B42</f>
        <v>artrodese toraco-lombo-sacra posterior 2 niveis</v>
      </c>
      <c r="G131" s="114">
        <f>'0408030'!C42</f>
        <v>1155.78</v>
      </c>
      <c r="H131" s="59" t="str">
        <f>'por medico'!A21</f>
        <v>WAGNER DE AZEVEDO  HERCULANO</v>
      </c>
      <c r="I131" s="61"/>
      <c r="J131" s="61" t="s">
        <v>175</v>
      </c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65"/>
      <c r="B132" s="65"/>
      <c r="C132" s="65"/>
      <c r="D132" s="66"/>
      <c r="E132" s="112" t="s">
        <v>287</v>
      </c>
      <c r="F132" s="117"/>
      <c r="G132" s="114"/>
      <c r="H132" s="68" t="str">
        <f>'por medico'!A14</f>
        <v>CAMILA MOURA DE SOUSA</v>
      </c>
      <c r="I132" s="71"/>
      <c r="J132" s="71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65"/>
      <c r="B133" s="65"/>
      <c r="C133" s="65"/>
      <c r="D133" s="66"/>
      <c r="E133" s="51" t="s">
        <v>287</v>
      </c>
      <c r="F133" s="55"/>
      <c r="G133" s="58"/>
      <c r="H133" s="77"/>
      <c r="I133" s="71"/>
      <c r="J133" s="7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65"/>
      <c r="B134" s="65"/>
      <c r="C134" s="65"/>
      <c r="D134" s="66"/>
      <c r="E134" s="51" t="s">
        <v>287</v>
      </c>
      <c r="F134" s="55"/>
      <c r="G134" s="58"/>
      <c r="H134" s="77"/>
      <c r="I134" s="71"/>
      <c r="J134" s="7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65"/>
      <c r="B135" s="83"/>
      <c r="C135" s="65"/>
      <c r="D135" s="66"/>
      <c r="E135" s="51" t="s">
        <v>287</v>
      </c>
      <c r="F135" s="55"/>
      <c r="G135" s="58"/>
      <c r="H135" s="85"/>
      <c r="I135" s="86"/>
      <c r="J135" s="8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02"/>
      <c r="B136" s="89"/>
      <c r="C136" s="89"/>
      <c r="D136" s="89"/>
      <c r="E136" s="90" t="s">
        <v>287</v>
      </c>
      <c r="F136" s="28" t="s">
        <v>292</v>
      </c>
      <c r="G136" s="91">
        <f>SUM(G131:G135)</f>
        <v>1155.78</v>
      </c>
      <c r="H136" s="92"/>
      <c r="I136" s="89"/>
      <c r="J136" s="9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04">
        <v>22.0</v>
      </c>
      <c r="B137" s="47" t="s">
        <v>613</v>
      </c>
      <c r="C137" s="109">
        <v>46215.0</v>
      </c>
      <c r="D137" s="104">
        <v>2.0428447E7</v>
      </c>
      <c r="E137" s="51" t="s">
        <v>614</v>
      </c>
      <c r="F137" s="55" t="str">
        <f>'0408030'!B40</f>
        <v>artrodese toraco-lombo-sacra posterior 3 niveis</v>
      </c>
      <c r="G137" s="58">
        <f>'0408030'!C40</f>
        <v>1155.78</v>
      </c>
      <c r="H137" s="159" t="str">
        <f>'por medico'!A23</f>
        <v>ARTUR BASTOS ROCHA</v>
      </c>
      <c r="I137" s="63"/>
      <c r="J137" s="61" t="s">
        <v>175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65"/>
      <c r="B138" s="65"/>
      <c r="C138" s="65"/>
      <c r="D138" s="66"/>
      <c r="E138" s="51" t="s">
        <v>254</v>
      </c>
      <c r="F138" s="55" t="str">
        <f>'0408030'!B66</f>
        <v>ressecção de elemento vertebral posterior /postero-lateral /distal a C2 ( até 2 segmentos)</v>
      </c>
      <c r="G138" s="58">
        <f>'0408030'!C66</f>
        <v>288</v>
      </c>
      <c r="H138" s="68" t="str">
        <f>'por medico'!A14</f>
        <v>CAMILA MOURA DE SOUSA</v>
      </c>
      <c r="I138" s="80"/>
      <c r="J138" s="7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65"/>
      <c r="B139" s="65"/>
      <c r="C139" s="65"/>
      <c r="D139" s="66"/>
      <c r="E139" s="51" t="s">
        <v>287</v>
      </c>
      <c r="F139" s="55"/>
      <c r="G139" s="58"/>
      <c r="H139" s="68"/>
      <c r="I139" s="80"/>
      <c r="J139" s="7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65"/>
      <c r="B140" s="65"/>
      <c r="C140" s="65"/>
      <c r="D140" s="66"/>
      <c r="E140" s="51" t="s">
        <v>287</v>
      </c>
      <c r="F140" s="55"/>
      <c r="G140" s="58"/>
      <c r="H140" s="77"/>
      <c r="I140" s="71"/>
      <c r="J140" s="7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65"/>
      <c r="B141" s="83"/>
      <c r="C141" s="65"/>
      <c r="D141" s="66"/>
      <c r="E141" s="51" t="s">
        <v>287</v>
      </c>
      <c r="F141" s="55"/>
      <c r="G141" s="58"/>
      <c r="H141" s="85"/>
      <c r="I141" s="86"/>
      <c r="J141" s="8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02"/>
      <c r="B142" s="89"/>
      <c r="C142" s="89"/>
      <c r="D142" s="89"/>
      <c r="E142" s="90" t="s">
        <v>287</v>
      </c>
      <c r="F142" s="28" t="s">
        <v>292</v>
      </c>
      <c r="G142" s="91">
        <f>SUM(G137:G141)</f>
        <v>1443.78</v>
      </c>
      <c r="H142" s="92"/>
      <c r="I142" s="89"/>
      <c r="J142" s="9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04">
        <v>23.0</v>
      </c>
      <c r="B143" s="44" t="s">
        <v>615</v>
      </c>
      <c r="C143" s="109">
        <v>46214.0</v>
      </c>
      <c r="D143" s="104">
        <v>2.0405965E7</v>
      </c>
      <c r="E143" s="112" t="s">
        <v>616</v>
      </c>
      <c r="F143" s="117" t="str">
        <f>'0403040'!B17</f>
        <v>microcirurgia vascular  intracraniana (com tecnica complementar)</v>
      </c>
      <c r="G143" s="114">
        <f>'0403040'!C17</f>
        <v>1865.92</v>
      </c>
      <c r="H143" s="59" t="str">
        <f>'por medico'!A24</f>
        <v>IOGO HENRIQUE DE O. ARAUJO</v>
      </c>
      <c r="I143" s="61"/>
      <c r="J143" s="61" t="s">
        <v>175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65"/>
      <c r="B144" s="65"/>
      <c r="C144" s="65"/>
      <c r="D144" s="66"/>
      <c r="E144" s="112" t="s">
        <v>352</v>
      </c>
      <c r="F144" s="113" t="str">
        <f>'0403010'!B37</f>
        <v>tratamento cirurgico de fistula liquorica craniana</v>
      </c>
      <c r="G144" s="114">
        <f>'0403010'!C37</f>
        <v>671.94</v>
      </c>
      <c r="H144" s="68" t="str">
        <f>'por medico'!A23</f>
        <v>ARTUR BASTOS ROCHA</v>
      </c>
      <c r="I144" s="71"/>
      <c r="J144" s="7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65"/>
      <c r="B145" s="65"/>
      <c r="C145" s="65"/>
      <c r="D145" s="66"/>
      <c r="E145" s="112" t="s">
        <v>455</v>
      </c>
      <c r="F145" s="113" t="str">
        <f>'0403010'!B26</f>
        <v>reconstução craniama /cranio-facial</v>
      </c>
      <c r="G145" s="114">
        <f>'0403010'!C26</f>
        <v>671.94</v>
      </c>
      <c r="H145" s="77"/>
      <c r="I145" s="71"/>
      <c r="J145" s="7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65"/>
      <c r="B146" s="65"/>
      <c r="C146" s="65"/>
      <c r="D146" s="66"/>
      <c r="E146" s="51" t="s">
        <v>344</v>
      </c>
      <c r="F146" s="96" t="str">
        <f>'0403010'!B14</f>
        <v>Craniotomia descompressiva</v>
      </c>
      <c r="G146" s="58">
        <f>'0403010'!C14</f>
        <v>391.86</v>
      </c>
      <c r="H146" s="77"/>
      <c r="I146" s="71"/>
      <c r="J146" s="7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65"/>
      <c r="B147" s="83"/>
      <c r="C147" s="65"/>
      <c r="D147" s="66"/>
      <c r="E147" s="51" t="s">
        <v>287</v>
      </c>
      <c r="F147" s="55"/>
      <c r="G147" s="58"/>
      <c r="H147" s="85"/>
      <c r="I147" s="86"/>
      <c r="J147" s="8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02"/>
      <c r="B148" s="89"/>
      <c r="C148" s="89"/>
      <c r="D148" s="89"/>
      <c r="E148" s="90" t="s">
        <v>287</v>
      </c>
      <c r="F148" s="28" t="s">
        <v>292</v>
      </c>
      <c r="G148" s="91">
        <f>SUM(G143:G147)</f>
        <v>3601.66</v>
      </c>
      <c r="H148" s="92"/>
      <c r="I148" s="89"/>
      <c r="J148" s="9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04">
        <v>24.0</v>
      </c>
      <c r="B149" s="47" t="s">
        <v>617</v>
      </c>
      <c r="C149" s="109">
        <v>46214.0</v>
      </c>
      <c r="D149" s="104">
        <v>1.9892868E7</v>
      </c>
      <c r="E149" s="51" t="s">
        <v>451</v>
      </c>
      <c r="F149" s="55" t="str">
        <f>'0403030'!B23</f>
        <v>microcirurgia de tumor de base do cranio</v>
      </c>
      <c r="G149" s="58">
        <f>'0403030'!C23</f>
        <v>1865.92</v>
      </c>
      <c r="H149" s="59" t="str">
        <f>'por medico'!A24</f>
        <v>IOGO HENRIQUE DE O. ARAUJO</v>
      </c>
      <c r="I149" s="61"/>
      <c r="J149" s="61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65"/>
      <c r="B150" s="65"/>
      <c r="C150" s="65"/>
      <c r="D150" s="66"/>
      <c r="E150" s="51" t="s">
        <v>618</v>
      </c>
      <c r="F150" s="96" t="str">
        <f>'0403010'!B17</f>
        <v>Craniotomia para retirada de cisto/ abcesso/granuloma encefalico(tecnica complementar)</v>
      </c>
      <c r="G150" s="58">
        <f>'0403010'!C17</f>
        <v>671.94</v>
      </c>
      <c r="H150" s="68" t="str">
        <f>'por medico'!A23</f>
        <v>ARTUR BASTOS ROCHA</v>
      </c>
      <c r="I150" s="71"/>
      <c r="J150" s="71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65"/>
      <c r="B151" s="65"/>
      <c r="C151" s="65"/>
      <c r="D151" s="66"/>
      <c r="E151" s="51" t="s">
        <v>352</v>
      </c>
      <c r="F151" s="96" t="str">
        <f>'0403010'!B37</f>
        <v>tratamento cirurgico de fistula liquorica craniana</v>
      </c>
      <c r="G151" s="58">
        <f>'0403010'!C37</f>
        <v>671.94</v>
      </c>
      <c r="H151" s="77"/>
      <c r="I151" s="71"/>
      <c r="J151" s="7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65"/>
      <c r="B152" s="65"/>
      <c r="C152" s="65"/>
      <c r="D152" s="66"/>
      <c r="E152" s="51" t="s">
        <v>287</v>
      </c>
      <c r="F152" s="55"/>
      <c r="G152" s="58"/>
      <c r="H152" s="77"/>
      <c r="I152" s="71"/>
      <c r="J152" s="7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65"/>
      <c r="B153" s="83"/>
      <c r="C153" s="65"/>
      <c r="D153" s="66"/>
      <c r="E153" s="51" t="s">
        <v>287</v>
      </c>
      <c r="F153" s="55"/>
      <c r="G153" s="58"/>
      <c r="H153" s="85"/>
      <c r="I153" s="86"/>
      <c r="J153" s="8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02"/>
      <c r="B154" s="89"/>
      <c r="C154" s="89"/>
      <c r="D154" s="89"/>
      <c r="E154" s="90" t="s">
        <v>287</v>
      </c>
      <c r="F154" s="28" t="s">
        <v>292</v>
      </c>
      <c r="G154" s="91">
        <f>SUM(G149:G153)</f>
        <v>3209.8</v>
      </c>
      <c r="H154" s="92"/>
      <c r="I154" s="89"/>
      <c r="J154" s="9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04">
        <v>25.0</v>
      </c>
      <c r="B155" s="44" t="s">
        <v>619</v>
      </c>
      <c r="C155" s="109">
        <v>46207.0</v>
      </c>
      <c r="D155" s="104">
        <v>2.0261186E7</v>
      </c>
      <c r="E155" s="112" t="s">
        <v>352</v>
      </c>
      <c r="F155" s="113" t="str">
        <f>'0403010'!B37</f>
        <v>tratamento cirurgico de fistula liquorica craniana</v>
      </c>
      <c r="G155" s="114">
        <f>'0403010'!C37</f>
        <v>671.94</v>
      </c>
      <c r="H155" s="59" t="str">
        <f>'por medico'!A19</f>
        <v>PEDRO HENRIQUE V.  PONDÉ DE SENA</v>
      </c>
      <c r="I155" s="61"/>
      <c r="J155" s="61" t="s">
        <v>175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65"/>
      <c r="B156" s="65"/>
      <c r="C156" s="65"/>
      <c r="D156" s="66"/>
      <c r="E156" s="112" t="s">
        <v>455</v>
      </c>
      <c r="F156" s="113" t="str">
        <f>'0403010'!B26</f>
        <v>reconstução craniama /cranio-facial</v>
      </c>
      <c r="G156" s="114">
        <f>'0403010'!C26</f>
        <v>671.94</v>
      </c>
      <c r="H156" s="68" t="str">
        <f>'por medico'!A23</f>
        <v>ARTUR BASTOS ROCHA</v>
      </c>
      <c r="I156" s="71"/>
      <c r="J156" s="7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65"/>
      <c r="B157" s="65"/>
      <c r="C157" s="65"/>
      <c r="D157" s="66"/>
      <c r="E157" s="112" t="s">
        <v>387</v>
      </c>
      <c r="F157" s="113" t="str">
        <f>'0403010'!B41</f>
        <v>tratamento cirurgico de hematoma intracerebral</v>
      </c>
      <c r="G157" s="114">
        <f>'0403010'!C41</f>
        <v>488.99</v>
      </c>
      <c r="H157" s="77"/>
      <c r="I157" s="71"/>
      <c r="J157" s="7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65"/>
      <c r="B158" s="65"/>
      <c r="C158" s="65"/>
      <c r="D158" s="66"/>
      <c r="E158" s="51" t="s">
        <v>344</v>
      </c>
      <c r="F158" s="96" t="str">
        <f>'0403010'!B14</f>
        <v>Craniotomia descompressiva</v>
      </c>
      <c r="G158" s="58">
        <f>'0403010'!C14</f>
        <v>391.86</v>
      </c>
      <c r="H158" s="77"/>
      <c r="I158" s="71"/>
      <c r="J158" s="7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65"/>
      <c r="B159" s="83"/>
      <c r="C159" s="65"/>
      <c r="D159" s="66"/>
      <c r="E159" s="51" t="s">
        <v>287</v>
      </c>
      <c r="F159" s="55"/>
      <c r="G159" s="58"/>
      <c r="H159" s="85"/>
      <c r="I159" s="86"/>
      <c r="J159" s="8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02"/>
      <c r="B160" s="89"/>
      <c r="C160" s="89"/>
      <c r="D160" s="89"/>
      <c r="E160" s="90" t="s">
        <v>287</v>
      </c>
      <c r="F160" s="28" t="s">
        <v>292</v>
      </c>
      <c r="G160" s="91">
        <f>SUM(G155:G159)</f>
        <v>2224.73</v>
      </c>
      <c r="H160" s="92"/>
      <c r="I160" s="89"/>
      <c r="J160" s="9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04">
        <v>26.0</v>
      </c>
      <c r="B161" s="47" t="s">
        <v>620</v>
      </c>
      <c r="C161" s="109">
        <v>46213.0</v>
      </c>
      <c r="D161" s="104">
        <v>2.0385191E7</v>
      </c>
      <c r="E161" s="112" t="s">
        <v>343</v>
      </c>
      <c r="F161" s="117" t="str">
        <f>'0403010'!B44</f>
        <v>Tratamento cirurgico de hematoma subdural cronico</v>
      </c>
      <c r="G161" s="114">
        <f>'0403010'!C44</f>
        <v>682.08</v>
      </c>
      <c r="H161" s="59" t="str">
        <f>'por medico'!A23</f>
        <v>ARTUR BASTOS ROCHA</v>
      </c>
      <c r="I161" s="61"/>
      <c r="J161" s="61" t="s">
        <v>175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65"/>
      <c r="B162" s="65"/>
      <c r="C162" s="65"/>
      <c r="D162" s="66"/>
      <c r="E162" s="112" t="s">
        <v>398</v>
      </c>
      <c r="F162" s="113" t="str">
        <f>'0403010'!B21</f>
        <v>derivação ventricular externa -subgaleal  externa</v>
      </c>
      <c r="G162" s="114">
        <f>'0403010'!C21</f>
        <v>286</v>
      </c>
      <c r="H162" s="68" t="str">
        <f>'por medico'!A21</f>
        <v>WAGNER DE AZEVEDO  HERCULANO</v>
      </c>
      <c r="I162" s="71"/>
      <c r="J162" s="7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5"/>
      <c r="B163" s="65"/>
      <c r="C163" s="65"/>
      <c r="D163" s="66"/>
      <c r="E163" s="112" t="s">
        <v>621</v>
      </c>
      <c r="F163" s="113" t="str">
        <f>'0403010'!B48</f>
        <v>trepanação craniana para punção ou biopsia   (tecnica complementar)</v>
      </c>
      <c r="G163" s="114">
        <f>'0403010'!C48</f>
        <v>286</v>
      </c>
      <c r="H163" s="77"/>
      <c r="I163" s="71"/>
      <c r="J163" s="7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5"/>
      <c r="B164" s="65"/>
      <c r="C164" s="65"/>
      <c r="D164" s="66"/>
      <c r="E164" s="51" t="s">
        <v>287</v>
      </c>
      <c r="F164" s="55"/>
      <c r="G164" s="58"/>
      <c r="H164" s="77"/>
      <c r="I164" s="71"/>
      <c r="J164" s="7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65"/>
      <c r="B165" s="83"/>
      <c r="C165" s="65"/>
      <c r="D165" s="66"/>
      <c r="E165" s="51" t="s">
        <v>287</v>
      </c>
      <c r="F165" s="55"/>
      <c r="G165" s="58"/>
      <c r="H165" s="85"/>
      <c r="I165" s="86"/>
      <c r="J165" s="8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02"/>
      <c r="B166" s="89"/>
      <c r="C166" s="89"/>
      <c r="D166" s="89"/>
      <c r="E166" s="90" t="s">
        <v>287</v>
      </c>
      <c r="F166" s="28" t="s">
        <v>292</v>
      </c>
      <c r="G166" s="91">
        <f>SUM(G161:G165)</f>
        <v>1254.08</v>
      </c>
      <c r="H166" s="92"/>
      <c r="I166" s="89"/>
      <c r="J166" s="9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04">
        <v>27.0</v>
      </c>
      <c r="B167" s="44" t="s">
        <v>622</v>
      </c>
      <c r="C167" s="109">
        <v>46214.0</v>
      </c>
      <c r="D167" s="104">
        <v>2.0405734E7</v>
      </c>
      <c r="E167" s="112" t="s">
        <v>343</v>
      </c>
      <c r="F167" s="117" t="str">
        <f>'0403010'!B44</f>
        <v>Tratamento cirurgico de hematoma subdural cronico</v>
      </c>
      <c r="G167" s="114">
        <f>'0403010'!C44</f>
        <v>682.08</v>
      </c>
      <c r="H167" s="116" t="str">
        <f>'por medico'!A23</f>
        <v>ARTUR BASTOS ROCHA</v>
      </c>
      <c r="I167" s="61"/>
      <c r="J167" s="61" t="s">
        <v>175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65"/>
      <c r="B168" s="65"/>
      <c r="C168" s="65"/>
      <c r="D168" s="66"/>
      <c r="E168" s="112" t="s">
        <v>398</v>
      </c>
      <c r="F168" s="113" t="str">
        <f>'0403010'!B21</f>
        <v>derivação ventricular externa -subgaleal  externa</v>
      </c>
      <c r="G168" s="114">
        <f>'0403010'!C21</f>
        <v>286</v>
      </c>
      <c r="H168" s="68" t="str">
        <f>'por medico'!A14</f>
        <v>CAMILA MOURA DE SOUSA</v>
      </c>
      <c r="I168" s="71"/>
      <c r="J168" s="7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65"/>
      <c r="B169" s="65"/>
      <c r="C169" s="65"/>
      <c r="D169" s="66"/>
      <c r="E169" s="112" t="s">
        <v>339</v>
      </c>
      <c r="F169" s="113" t="str">
        <f>'0403010'!B49</f>
        <v>trepanação craniana para punção ou biopsia   </v>
      </c>
      <c r="G169" s="114">
        <f>'0403010'!C49</f>
        <v>107.52</v>
      </c>
      <c r="H169" s="77"/>
      <c r="I169" s="71"/>
      <c r="J169" s="7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65"/>
      <c r="B170" s="65"/>
      <c r="C170" s="65"/>
      <c r="D170" s="66"/>
      <c r="E170" s="51" t="s">
        <v>287</v>
      </c>
      <c r="F170" s="55"/>
      <c r="G170" s="58"/>
      <c r="H170" s="77"/>
      <c r="I170" s="71"/>
      <c r="J170" s="7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65"/>
      <c r="B171" s="83"/>
      <c r="C171" s="65"/>
      <c r="D171" s="66"/>
      <c r="E171" s="51" t="s">
        <v>287</v>
      </c>
      <c r="F171" s="55"/>
      <c r="G171" s="58"/>
      <c r="H171" s="85"/>
      <c r="I171" s="86"/>
      <c r="J171" s="8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02"/>
      <c r="B172" s="89"/>
      <c r="C172" s="89"/>
      <c r="D172" s="89"/>
      <c r="E172" s="90" t="s">
        <v>287</v>
      </c>
      <c r="F172" s="28" t="s">
        <v>292</v>
      </c>
      <c r="G172" s="91">
        <f>SUM(G167:G171)</f>
        <v>1075.6</v>
      </c>
      <c r="H172" s="92"/>
      <c r="I172" s="89"/>
      <c r="J172" s="9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40">
        <v>28.0</v>
      </c>
      <c r="B173" s="47" t="s">
        <v>623</v>
      </c>
      <c r="C173" s="47">
        <v>46216.0</v>
      </c>
      <c r="D173" s="40">
        <v>2.0316758E7</v>
      </c>
      <c r="E173" s="51" t="s">
        <v>624</v>
      </c>
      <c r="F173" s="55" t="str">
        <f>'0408030'!B74</f>
        <v>revisão de artrodese / tratamento cirurgico  de pseudoartrose da coluna  cervical posterior</v>
      </c>
      <c r="G173" s="58">
        <f>'0408030'!C74</f>
        <v>770.99</v>
      </c>
      <c r="H173" s="59" t="str">
        <f>'por medico'!A21</f>
        <v>WAGNER DE AZEVEDO  HERCULANO</v>
      </c>
      <c r="I173" s="61"/>
      <c r="J173" s="6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65"/>
      <c r="B174" s="155"/>
      <c r="C174" s="65"/>
      <c r="D174" s="66"/>
      <c r="E174" s="51" t="s">
        <v>247</v>
      </c>
      <c r="F174" s="55" t="str">
        <f>'0403020'!B23</f>
        <v>tratamento cirurgico  de neuropatia compressiva com ou sem microcirurgia</v>
      </c>
      <c r="G174" s="58">
        <f>'0403020'!C23</f>
        <v>560</v>
      </c>
      <c r="H174" s="68" t="str">
        <f>'por medico'!A14</f>
        <v>CAMILA MOURA DE SOUSA</v>
      </c>
      <c r="I174" s="71"/>
      <c r="J174" s="7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65"/>
      <c r="B175" s="65"/>
      <c r="C175" s="65"/>
      <c r="D175" s="66"/>
      <c r="E175" s="51" t="s">
        <v>336</v>
      </c>
      <c r="F175" s="55" t="str">
        <f>'0408030'!B65</f>
        <v>ressecção de elemento vertebral posterior /postero-lateral /distal a C2 (mais de 2 segmentos)</v>
      </c>
      <c r="G175" s="58">
        <f>'0408030'!C65</f>
        <v>345.6</v>
      </c>
      <c r="H175" s="77"/>
      <c r="I175" s="71"/>
      <c r="J175" s="7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65"/>
      <c r="B176" s="65"/>
      <c r="C176" s="65"/>
      <c r="D176" s="66"/>
      <c r="E176" s="51" t="s">
        <v>287</v>
      </c>
      <c r="F176" s="55"/>
      <c r="G176" s="58"/>
      <c r="H176" s="77"/>
      <c r="I176" s="71"/>
      <c r="J176" s="7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65"/>
      <c r="B177" s="83"/>
      <c r="C177" s="65"/>
      <c r="D177" s="66"/>
      <c r="E177" s="51" t="s">
        <v>287</v>
      </c>
      <c r="F177" s="55"/>
      <c r="G177" s="58"/>
      <c r="H177" s="85"/>
      <c r="I177" s="86"/>
      <c r="J177" s="8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02"/>
      <c r="B178" s="89"/>
      <c r="C178" s="89"/>
      <c r="D178" s="89"/>
      <c r="E178" s="90" t="s">
        <v>287</v>
      </c>
      <c r="F178" s="28" t="s">
        <v>292</v>
      </c>
      <c r="G178" s="91">
        <f>SUM(G173:G177)</f>
        <v>1676.59</v>
      </c>
      <c r="H178" s="92"/>
      <c r="I178" s="89"/>
      <c r="J178" s="9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04">
        <v>29.0</v>
      </c>
      <c r="B179" s="44" t="s">
        <v>625</v>
      </c>
      <c r="C179" s="109">
        <v>46216.0</v>
      </c>
      <c r="D179" s="104">
        <v>2.0441002E7</v>
      </c>
      <c r="E179" s="112" t="s">
        <v>352</v>
      </c>
      <c r="F179" s="113" t="str">
        <f>'0403010'!B37</f>
        <v>tratamento cirurgico de fistula liquorica craniana</v>
      </c>
      <c r="G179" s="114">
        <f>'0403010'!C37</f>
        <v>671.94</v>
      </c>
      <c r="H179" s="59" t="str">
        <f>'por medico'!A14</f>
        <v>CAMILA MOURA DE SOUSA</v>
      </c>
      <c r="I179" s="61"/>
      <c r="J179" s="61" t="s">
        <v>175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65"/>
      <c r="B180" s="65"/>
      <c r="C180" s="65"/>
      <c r="D180" s="66"/>
      <c r="E180" s="112" t="s">
        <v>594</v>
      </c>
      <c r="F180" s="113" t="str">
        <f>'0403010'!B23</f>
        <v>descompressão de orbita por doença  ou trauma</v>
      </c>
      <c r="G180" s="114">
        <f>'0403010'!C23</f>
        <v>786.5</v>
      </c>
      <c r="H180" s="68" t="str">
        <f>'por medico'!A21</f>
        <v>WAGNER DE AZEVEDO  HERCULANO</v>
      </c>
      <c r="I180" s="71"/>
      <c r="J180" s="7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65"/>
      <c r="B181" s="65"/>
      <c r="C181" s="65"/>
      <c r="D181" s="66"/>
      <c r="E181" s="112" t="s">
        <v>344</v>
      </c>
      <c r="F181" s="113" t="str">
        <f>'0403010'!B14</f>
        <v>Craniotomia descompressiva</v>
      </c>
      <c r="G181" s="114">
        <f>'0403010'!C14</f>
        <v>391.86</v>
      </c>
      <c r="H181" s="77"/>
      <c r="I181" s="71"/>
      <c r="J181" s="7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65"/>
      <c r="B182" s="65"/>
      <c r="C182" s="65"/>
      <c r="D182" s="66"/>
      <c r="E182" s="51" t="s">
        <v>626</v>
      </c>
      <c r="F182" s="96" t="str">
        <f>'0403010'!B47</f>
        <v>trepanação craniana para propedeutica neurocirurgica/implante para monitoração pic</v>
      </c>
      <c r="G182" s="58">
        <f>'0403010'!C47</f>
        <v>107.52</v>
      </c>
      <c r="H182" s="77"/>
      <c r="I182" s="71"/>
      <c r="J182" s="7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65"/>
      <c r="B183" s="83"/>
      <c r="C183" s="65"/>
      <c r="D183" s="66"/>
      <c r="E183" s="51" t="s">
        <v>287</v>
      </c>
      <c r="F183" s="55"/>
      <c r="G183" s="58"/>
      <c r="H183" s="85"/>
      <c r="I183" s="86"/>
      <c r="J183" s="8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02"/>
      <c r="B184" s="89"/>
      <c r="C184" s="89"/>
      <c r="D184" s="89"/>
      <c r="E184" s="90" t="s">
        <v>287</v>
      </c>
      <c r="F184" s="28" t="s">
        <v>292</v>
      </c>
      <c r="G184" s="91">
        <f>SUM(G179:G183)</f>
        <v>1957.82</v>
      </c>
      <c r="H184" s="92"/>
      <c r="I184" s="89"/>
      <c r="J184" s="9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04">
        <v>30.0</v>
      </c>
      <c r="B185" s="65" t="s">
        <v>627</v>
      </c>
      <c r="C185" s="44">
        <v>46211.0</v>
      </c>
      <c r="D185" s="160">
        <v>2.0118261E7</v>
      </c>
      <c r="E185" s="112" t="s">
        <v>628</v>
      </c>
      <c r="F185" s="113" t="str">
        <f>'0403010'!B16</f>
        <v>Craniotomia para retirada de cisto/ abcesso/granuloma encefalico</v>
      </c>
      <c r="G185" s="114">
        <f>'0403010'!C16</f>
        <v>671.94</v>
      </c>
      <c r="H185" s="116" t="str">
        <f>'por medico'!A14</f>
        <v>CAMILA MOURA DE SOUSA</v>
      </c>
      <c r="I185" s="61"/>
      <c r="J185" s="6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65"/>
      <c r="B186" s="72"/>
      <c r="C186" s="65"/>
      <c r="D186" s="66"/>
      <c r="E186" s="112" t="s">
        <v>352</v>
      </c>
      <c r="F186" s="113" t="str">
        <f>'0403010'!B37</f>
        <v>tratamento cirurgico de fistula liquorica craniana</v>
      </c>
      <c r="G186" s="114">
        <f>'0403010'!C37</f>
        <v>671.94</v>
      </c>
      <c r="H186" s="68" t="str">
        <f>'por medico'!A23</f>
        <v>ARTUR BASTOS ROCHA</v>
      </c>
      <c r="I186" s="71"/>
      <c r="J186" s="7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65"/>
      <c r="B187" s="65"/>
      <c r="C187" s="65"/>
      <c r="D187" s="66"/>
      <c r="E187" s="112" t="s">
        <v>440</v>
      </c>
      <c r="F187" s="113" t="str">
        <f>'0403010'!B31</f>
        <v>tratamento cirurgico de abcesso intracraniano</v>
      </c>
      <c r="G187" s="114">
        <f>'0403010'!C31</f>
        <v>559.95</v>
      </c>
      <c r="H187" s="77"/>
      <c r="I187" s="71"/>
      <c r="J187" s="7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65"/>
      <c r="B188" s="65"/>
      <c r="C188" s="65"/>
      <c r="D188" s="66"/>
      <c r="E188" s="112" t="s">
        <v>287</v>
      </c>
      <c r="F188" s="117"/>
      <c r="G188" s="114"/>
      <c r="H188" s="77"/>
      <c r="I188" s="71"/>
      <c r="J188" s="7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65"/>
      <c r="B189" s="83"/>
      <c r="C189" s="65"/>
      <c r="D189" s="66"/>
      <c r="E189" s="51" t="s">
        <v>287</v>
      </c>
      <c r="F189" s="55"/>
      <c r="G189" s="58"/>
      <c r="H189" s="85"/>
      <c r="I189" s="86"/>
      <c r="J189" s="8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02"/>
      <c r="B190" s="89"/>
      <c r="C190" s="89"/>
      <c r="D190" s="89"/>
      <c r="E190" s="90" t="s">
        <v>287</v>
      </c>
      <c r="F190" s="28" t="s">
        <v>292</v>
      </c>
      <c r="G190" s="91">
        <f>SUM(G185:G189)</f>
        <v>1903.83</v>
      </c>
      <c r="H190" s="92"/>
      <c r="I190" s="89"/>
      <c r="J190" s="9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04">
        <v>31.0</v>
      </c>
      <c r="B191" s="47" t="s">
        <v>629</v>
      </c>
      <c r="C191" s="109">
        <v>46212.0</v>
      </c>
      <c r="D191" s="104">
        <v>2.0398822E7</v>
      </c>
      <c r="E191" s="112" t="s">
        <v>338</v>
      </c>
      <c r="F191" s="113" t="str">
        <f>'0403010'!B22</f>
        <v>derivação ventricular para peritoneo/atrio/pleura/raque</v>
      </c>
      <c r="G191" s="114">
        <f>'0403010'!C22</f>
        <v>682.08</v>
      </c>
      <c r="H191" s="59" t="str">
        <f>'por medico'!A21</f>
        <v>WAGNER DE AZEVEDO  HERCULANO</v>
      </c>
      <c r="I191" s="61"/>
      <c r="J191" s="61" t="s">
        <v>175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65"/>
      <c r="B192" s="65"/>
      <c r="C192" s="65"/>
      <c r="D192" s="66"/>
      <c r="E192" s="112" t="s">
        <v>339</v>
      </c>
      <c r="F192" s="113" t="str">
        <f>'0403010'!B49</f>
        <v>trepanação craniana para punção ou biopsia   </v>
      </c>
      <c r="G192" s="114">
        <f>'0403010'!C49</f>
        <v>107.52</v>
      </c>
      <c r="H192" s="68" t="str">
        <f>'por medico'!A17</f>
        <v>EDUARDO VARJÃO VIEIRA </v>
      </c>
      <c r="I192" s="71"/>
      <c r="J192" s="7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65"/>
      <c r="B193" s="65"/>
      <c r="C193" s="65"/>
      <c r="D193" s="66"/>
      <c r="E193" s="112" t="s">
        <v>287</v>
      </c>
      <c r="F193" s="55"/>
      <c r="G193" s="58"/>
      <c r="H193" s="77"/>
      <c r="I193" s="71"/>
      <c r="J193" s="7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65"/>
      <c r="B194" s="65"/>
      <c r="C194" s="65"/>
      <c r="D194" s="66"/>
      <c r="E194" s="112" t="s">
        <v>287</v>
      </c>
      <c r="F194" s="55"/>
      <c r="G194" s="58"/>
      <c r="H194" s="68"/>
      <c r="I194" s="71"/>
      <c r="J194" s="7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65"/>
      <c r="B195" s="83"/>
      <c r="C195" s="65"/>
      <c r="D195" s="66"/>
      <c r="E195" s="51" t="s">
        <v>287</v>
      </c>
      <c r="F195" s="55"/>
      <c r="G195" s="58"/>
      <c r="H195" s="85"/>
      <c r="I195" s="86"/>
      <c r="J195" s="8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03"/>
      <c r="B196" s="103"/>
      <c r="C196" s="103"/>
      <c r="D196" s="103"/>
      <c r="E196" s="120" t="s">
        <v>287</v>
      </c>
      <c r="F196" s="28" t="s">
        <v>292</v>
      </c>
      <c r="G196" s="91">
        <f>SUM(G191:G195)</f>
        <v>789.6</v>
      </c>
      <c r="H196" s="92"/>
      <c r="I196" s="89"/>
      <c r="J196" s="10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04">
        <v>32.0</v>
      </c>
      <c r="B197" s="47" t="s">
        <v>631</v>
      </c>
      <c r="C197" s="109">
        <v>46214.0</v>
      </c>
      <c r="D197" s="104">
        <v>2.0426466E7</v>
      </c>
      <c r="E197" s="51" t="s">
        <v>343</v>
      </c>
      <c r="F197" s="55" t="str">
        <f>'0403010'!B44</f>
        <v>Tratamento cirurgico de hematoma subdural cronico</v>
      </c>
      <c r="G197" s="58">
        <f>'0403010'!C44</f>
        <v>682.08</v>
      </c>
      <c r="H197" s="59" t="str">
        <f>'por medico'!A14</f>
        <v>CAMILA MOURA DE SOUSA</v>
      </c>
      <c r="I197" s="61"/>
      <c r="J197" s="61" t="s">
        <v>175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65"/>
      <c r="B198" s="65"/>
      <c r="C198" s="65"/>
      <c r="D198" s="66"/>
      <c r="E198" s="51" t="s">
        <v>580</v>
      </c>
      <c r="F198" s="96" t="str">
        <f>'0403010'!B13</f>
        <v>Cranioplastia </v>
      </c>
      <c r="G198" s="58">
        <f>'0403010'!C13</f>
        <v>522.48</v>
      </c>
      <c r="H198" s="68" t="str">
        <f>'por medico'!A24</f>
        <v>IOGO HENRIQUE DE O. ARAUJO</v>
      </c>
      <c r="I198" s="71"/>
      <c r="J198" s="7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65"/>
      <c r="B199" s="65"/>
      <c r="C199" s="65"/>
      <c r="D199" s="66"/>
      <c r="E199" s="51" t="s">
        <v>398</v>
      </c>
      <c r="F199" s="96" t="str">
        <f>'0403010'!B21</f>
        <v>derivação ventricular externa -subgaleal  externa</v>
      </c>
      <c r="G199" s="58">
        <f>'0403010'!C21</f>
        <v>286</v>
      </c>
      <c r="H199" s="77"/>
      <c r="I199" s="71"/>
      <c r="J199" s="7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65"/>
      <c r="B200" s="65"/>
      <c r="C200" s="65"/>
      <c r="D200" s="66"/>
      <c r="E200" s="112" t="s">
        <v>344</v>
      </c>
      <c r="F200" s="113" t="str">
        <f>'0403010'!B14</f>
        <v>Craniotomia descompressiva</v>
      </c>
      <c r="G200" s="114">
        <f>'0403010'!C14</f>
        <v>391.86</v>
      </c>
      <c r="H200" s="77"/>
      <c r="I200" s="71"/>
      <c r="J200" s="7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65"/>
      <c r="B201" s="83"/>
      <c r="C201" s="65"/>
      <c r="D201" s="66"/>
      <c r="E201" s="51" t="s">
        <v>339</v>
      </c>
      <c r="F201" s="96" t="str">
        <f>'0403010'!B49</f>
        <v>trepanação craniana para punção ou biopsia   </v>
      </c>
      <c r="G201" s="58">
        <f>'0403010'!C49</f>
        <v>107.52</v>
      </c>
      <c r="H201" s="85"/>
      <c r="I201" s="86"/>
      <c r="J201" s="8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02"/>
      <c r="B202" s="89"/>
      <c r="C202" s="89"/>
      <c r="D202" s="89"/>
      <c r="E202" s="90" t="s">
        <v>287</v>
      </c>
      <c r="F202" s="28" t="s">
        <v>292</v>
      </c>
      <c r="G202" s="91">
        <f>SUM(G197:G201)</f>
        <v>1989.94</v>
      </c>
      <c r="H202" s="92"/>
      <c r="I202" s="89"/>
      <c r="J202" s="9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04">
        <v>33.0</v>
      </c>
      <c r="B203" s="44" t="s">
        <v>632</v>
      </c>
      <c r="C203" s="109">
        <v>46215.0</v>
      </c>
      <c r="D203" s="104">
        <v>2.0416632E7</v>
      </c>
      <c r="E203" s="112" t="s">
        <v>633</v>
      </c>
      <c r="F203" s="117" t="str">
        <f>'0403010'!B43</f>
        <v>Tratamento cirurgico de hematoma subdural agudo</v>
      </c>
      <c r="G203" s="114">
        <f>'0403010'!C43</f>
        <v>682.08</v>
      </c>
      <c r="H203" s="159" t="str">
        <f>'por medico'!A23</f>
        <v>ARTUR BASTOS ROCHA</v>
      </c>
      <c r="I203" s="61"/>
      <c r="J203" s="61" t="s">
        <v>175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65"/>
      <c r="B204" s="65"/>
      <c r="C204" s="65"/>
      <c r="D204" s="66"/>
      <c r="E204" s="112" t="s">
        <v>344</v>
      </c>
      <c r="F204" s="113" t="str">
        <f>'0403010'!B14</f>
        <v>Craniotomia descompressiva</v>
      </c>
      <c r="G204" s="114">
        <f>'0403010'!C14</f>
        <v>391.86</v>
      </c>
      <c r="H204" s="68" t="str">
        <f>'por medico'!A14</f>
        <v>CAMILA MOURA DE SOUSA</v>
      </c>
      <c r="I204" s="71"/>
      <c r="J204" s="7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65"/>
      <c r="B205" s="65"/>
      <c r="C205" s="65"/>
      <c r="D205" s="66"/>
      <c r="E205" s="112" t="s">
        <v>287</v>
      </c>
      <c r="F205" s="117"/>
      <c r="G205" s="114"/>
      <c r="H205" s="77"/>
      <c r="I205" s="71"/>
      <c r="J205" s="7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65"/>
      <c r="B206" s="65"/>
      <c r="C206" s="65"/>
      <c r="D206" s="66"/>
      <c r="E206" s="112" t="s">
        <v>287</v>
      </c>
      <c r="F206" s="55"/>
      <c r="G206" s="58"/>
      <c r="H206" s="77"/>
      <c r="I206" s="71"/>
      <c r="J206" s="7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65"/>
      <c r="B207" s="83"/>
      <c r="C207" s="65"/>
      <c r="D207" s="66"/>
      <c r="E207" s="51" t="s">
        <v>287</v>
      </c>
      <c r="F207" s="55"/>
      <c r="G207" s="58"/>
      <c r="H207" s="85"/>
      <c r="I207" s="86"/>
      <c r="J207" s="8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02"/>
      <c r="B208" s="89"/>
      <c r="C208" s="89"/>
      <c r="D208" s="89"/>
      <c r="E208" s="90" t="s">
        <v>287</v>
      </c>
      <c r="F208" s="28" t="s">
        <v>292</v>
      </c>
      <c r="G208" s="91">
        <f>SUM(G203:G207)</f>
        <v>1073.94</v>
      </c>
      <c r="H208" s="92"/>
      <c r="I208" s="89"/>
      <c r="J208" s="9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04">
        <v>34.0</v>
      </c>
      <c r="B209" s="161" t="s">
        <v>634</v>
      </c>
      <c r="C209" s="109">
        <v>46220.0</v>
      </c>
      <c r="D209" s="104">
        <v>2.0530143E7</v>
      </c>
      <c r="E209" s="112" t="s">
        <v>614</v>
      </c>
      <c r="F209" s="117" t="str">
        <f>'0408030'!B40</f>
        <v>artrodese toraco-lombo-sacra posterior 3 niveis</v>
      </c>
      <c r="G209" s="114">
        <f>'0408030'!C40</f>
        <v>1155.78</v>
      </c>
      <c r="H209" s="59" t="str">
        <f>'por medico'!A21</f>
        <v>WAGNER DE AZEVEDO  HERCULANO</v>
      </c>
      <c r="I209" s="61"/>
      <c r="J209" s="61" t="s">
        <v>175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65"/>
      <c r="B210" s="65"/>
      <c r="C210" s="65"/>
      <c r="D210" s="66"/>
      <c r="E210" s="112" t="s">
        <v>247</v>
      </c>
      <c r="F210" s="117" t="str">
        <f>'0403020'!B23</f>
        <v>tratamento cirurgico  de neuropatia compressiva com ou sem microcirurgia</v>
      </c>
      <c r="G210" s="114">
        <f>'0403020'!C23</f>
        <v>560</v>
      </c>
      <c r="H210" s="68" t="str">
        <f>'por medico'!A19</f>
        <v>PEDRO HENRIQUE V.  PONDÉ DE SENA</v>
      </c>
      <c r="I210" s="71"/>
      <c r="J210" s="7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65"/>
      <c r="B211" s="65"/>
      <c r="C211" s="65"/>
      <c r="D211" s="66"/>
      <c r="E211" s="112" t="s">
        <v>254</v>
      </c>
      <c r="F211" s="117" t="str">
        <f>'0408030'!B66</f>
        <v>ressecção de elemento vertebral posterior /postero-lateral /distal a C2 ( até 2 segmentos)</v>
      </c>
      <c r="G211" s="114">
        <f>'0408030'!C66</f>
        <v>288</v>
      </c>
      <c r="H211" s="77"/>
      <c r="I211" s="71"/>
      <c r="J211" s="7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65"/>
      <c r="B212" s="65"/>
      <c r="C212" s="65"/>
      <c r="D212" s="66"/>
      <c r="E212" s="51" t="s">
        <v>287</v>
      </c>
      <c r="F212" s="55"/>
      <c r="G212" s="58"/>
      <c r="H212" s="77"/>
      <c r="I212" s="71"/>
      <c r="J212" s="7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65"/>
      <c r="B213" s="83"/>
      <c r="C213" s="65"/>
      <c r="D213" s="66"/>
      <c r="E213" s="51" t="s">
        <v>287</v>
      </c>
      <c r="F213" s="55"/>
      <c r="G213" s="58"/>
      <c r="H213" s="85"/>
      <c r="I213" s="86"/>
      <c r="J213" s="8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02"/>
      <c r="B214" s="89"/>
      <c r="C214" s="89"/>
      <c r="D214" s="89"/>
      <c r="E214" s="90" t="s">
        <v>287</v>
      </c>
      <c r="F214" s="28" t="s">
        <v>292</v>
      </c>
      <c r="G214" s="91">
        <f>SUM(G209:G213)</f>
        <v>2003.78</v>
      </c>
      <c r="H214" s="92"/>
      <c r="I214" s="89"/>
      <c r="J214" s="9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04">
        <v>35.0</v>
      </c>
      <c r="B215" s="161" t="s">
        <v>635</v>
      </c>
      <c r="C215" s="109">
        <v>46218.0</v>
      </c>
      <c r="D215" s="104">
        <v>2.0186698E7</v>
      </c>
      <c r="E215" s="112" t="s">
        <v>443</v>
      </c>
      <c r="F215" s="117" t="str">
        <f>'0403020'!B13</f>
        <v>enxerto microcirurgico  de nervo periferico ( 2 ou mais nervos)</v>
      </c>
      <c r="G215" s="114">
        <f>'0403020'!C13</f>
        <v>500.5</v>
      </c>
      <c r="H215" s="59" t="str">
        <f>'por medico'!A19</f>
        <v>PEDRO HENRIQUE V.  PONDÉ DE SENA</v>
      </c>
      <c r="I215" s="61"/>
      <c r="J215" s="61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65"/>
      <c r="B216" s="65"/>
      <c r="C216" s="65"/>
      <c r="D216" s="66"/>
      <c r="E216" s="112" t="s">
        <v>444</v>
      </c>
      <c r="F216" s="117" t="str">
        <f>'0403020'!B16</f>
        <v>microcirurgia de plexo braquial com microenxertia</v>
      </c>
      <c r="G216" s="114">
        <f>'0403020'!C16</f>
        <v>441.84</v>
      </c>
      <c r="H216" s="68" t="str">
        <f>'por medico'!A17</f>
        <v>EDUARDO VARJÃO VIEIRA </v>
      </c>
      <c r="I216" s="71"/>
      <c r="J216" s="71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65"/>
      <c r="B217" s="65"/>
      <c r="C217" s="65"/>
      <c r="D217" s="66"/>
      <c r="E217" s="112" t="s">
        <v>445</v>
      </c>
      <c r="F217" s="117" t="str">
        <f>'0403020'!B18</f>
        <v>microneurrafia</v>
      </c>
      <c r="G217" s="114">
        <f>'0403020'!C18</f>
        <v>321.75</v>
      </c>
      <c r="H217" s="77"/>
      <c r="I217" s="71"/>
      <c r="J217" s="71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65"/>
      <c r="B218" s="65"/>
      <c r="C218" s="65"/>
      <c r="D218" s="66"/>
      <c r="E218" s="112" t="s">
        <v>247</v>
      </c>
      <c r="F218" s="117" t="str">
        <f>'0403020'!B23</f>
        <v>tratamento cirurgico  de neuropatia compressiva com ou sem microcirurgia</v>
      </c>
      <c r="G218" s="114">
        <f>'0403020'!C23</f>
        <v>560</v>
      </c>
      <c r="H218" s="77"/>
      <c r="I218" s="71"/>
      <c r="J218" s="71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65"/>
      <c r="B219" s="83"/>
      <c r="C219" s="65"/>
      <c r="D219" s="66"/>
      <c r="E219" s="51" t="s">
        <v>447</v>
      </c>
      <c r="F219" s="55" t="str">
        <f>'0403020'!B17</f>
        <v>microneurolise de nervo periferico</v>
      </c>
      <c r="G219" s="58">
        <f>'0403020'!C17</f>
        <v>214.5</v>
      </c>
      <c r="H219" s="85"/>
      <c r="I219" s="86"/>
      <c r="J219" s="8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02"/>
      <c r="B220" s="89"/>
      <c r="C220" s="89"/>
      <c r="D220" s="89"/>
      <c r="E220" s="90" t="s">
        <v>287</v>
      </c>
      <c r="F220" s="28" t="s">
        <v>292</v>
      </c>
      <c r="G220" s="91">
        <f>SUM(G215:G219)</f>
        <v>2038.59</v>
      </c>
      <c r="H220" s="92"/>
      <c r="I220" s="89"/>
      <c r="J220" s="9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04">
        <v>36.0</v>
      </c>
      <c r="B221" s="47" t="s">
        <v>636</v>
      </c>
      <c r="C221" s="109">
        <v>46223.0</v>
      </c>
      <c r="D221" s="104">
        <v>2.0424636E7</v>
      </c>
      <c r="E221" s="112" t="s">
        <v>637</v>
      </c>
      <c r="F221" s="96" t="str">
        <f>'outros codigos'!B14</f>
        <v>Debridamento de ulcera/ de tecidos desvitalizados</v>
      </c>
      <c r="G221" s="114"/>
      <c r="H221" s="59" t="str">
        <f>'por medico'!A17</f>
        <v>EDUARDO VARJÃO VIEIRA </v>
      </c>
      <c r="I221" s="61"/>
      <c r="J221" s="6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65"/>
      <c r="B222" s="65"/>
      <c r="C222" s="65"/>
      <c r="D222" s="66"/>
      <c r="E222" s="112" t="s">
        <v>287</v>
      </c>
      <c r="F222" s="117"/>
      <c r="G222" s="114"/>
      <c r="H222" s="68" t="str">
        <f>'por medico'!A21</f>
        <v>WAGNER DE AZEVEDO  HERCULANO</v>
      </c>
      <c r="I222" s="71"/>
      <c r="J222" s="7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65"/>
      <c r="B223" s="65"/>
      <c r="C223" s="65"/>
      <c r="D223" s="66"/>
      <c r="E223" s="112" t="s">
        <v>287</v>
      </c>
      <c r="F223" s="117"/>
      <c r="G223" s="114"/>
      <c r="H223" s="77"/>
      <c r="I223" s="71"/>
      <c r="J223" s="7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65"/>
      <c r="B224" s="65"/>
      <c r="C224" s="65"/>
      <c r="D224" s="66"/>
      <c r="E224" s="112" t="s">
        <v>287</v>
      </c>
      <c r="F224" s="117"/>
      <c r="G224" s="114"/>
      <c r="H224" s="77"/>
      <c r="I224" s="71"/>
      <c r="J224" s="7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65"/>
      <c r="B225" s="83"/>
      <c r="C225" s="65"/>
      <c r="D225" s="66"/>
      <c r="E225" s="51" t="s">
        <v>287</v>
      </c>
      <c r="F225" s="55"/>
      <c r="G225" s="58"/>
      <c r="H225" s="85"/>
      <c r="I225" s="86"/>
      <c r="J225" s="8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02"/>
      <c r="B226" s="89"/>
      <c r="C226" s="89"/>
      <c r="D226" s="89"/>
      <c r="E226" s="90" t="s">
        <v>287</v>
      </c>
      <c r="F226" s="28" t="s">
        <v>292</v>
      </c>
      <c r="G226" s="91">
        <f>SUM(G221:G225)</f>
        <v>0</v>
      </c>
      <c r="H226" s="92"/>
      <c r="I226" s="89"/>
      <c r="J226" s="9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04">
        <v>37.0</v>
      </c>
      <c r="B227" s="47" t="s">
        <v>638</v>
      </c>
      <c r="C227" s="109">
        <v>46215.0</v>
      </c>
      <c r="D227" s="104">
        <v>2.0324711E7</v>
      </c>
      <c r="E227" s="112" t="s">
        <v>614</v>
      </c>
      <c r="F227" s="117" t="str">
        <f>'0408030'!B40</f>
        <v>artrodese toraco-lombo-sacra posterior 3 niveis</v>
      </c>
      <c r="G227" s="114">
        <f>'0408030'!C40</f>
        <v>1155.78</v>
      </c>
      <c r="H227" s="59" t="str">
        <f>'por medico'!A23</f>
        <v>ARTUR BASTOS ROCHA</v>
      </c>
      <c r="I227" s="61"/>
      <c r="J227" s="61" t="s">
        <v>175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65"/>
      <c r="B228" s="65"/>
      <c r="C228" s="65"/>
      <c r="D228" s="66"/>
      <c r="E228" s="112" t="s">
        <v>247</v>
      </c>
      <c r="F228" s="117" t="str">
        <f>'0403020'!B23</f>
        <v>tratamento cirurgico  de neuropatia compressiva com ou sem microcirurgia</v>
      </c>
      <c r="G228" s="114">
        <f>'0403020'!C23</f>
        <v>560</v>
      </c>
      <c r="H228" s="68" t="str">
        <f>'por medico'!A14</f>
        <v>CAMILA MOURA DE SOUSA</v>
      </c>
      <c r="I228" s="71"/>
      <c r="J228" s="7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65"/>
      <c r="B229" s="65"/>
      <c r="C229" s="65"/>
      <c r="D229" s="66"/>
      <c r="E229" s="112" t="s">
        <v>336</v>
      </c>
      <c r="F229" s="117" t="str">
        <f>'0408030'!B65</f>
        <v>ressecção de elemento vertebral posterior /postero-lateral /distal a C2 (mais de 2 segmentos)</v>
      </c>
      <c r="G229" s="114">
        <f>'0408030'!C65</f>
        <v>345.6</v>
      </c>
      <c r="H229" s="77"/>
      <c r="I229" s="71"/>
      <c r="J229" s="7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65"/>
      <c r="B230" s="65"/>
      <c r="C230" s="65"/>
      <c r="D230" s="66"/>
      <c r="E230" s="51" t="s">
        <v>287</v>
      </c>
      <c r="F230" s="55"/>
      <c r="G230" s="58"/>
      <c r="H230" s="77"/>
      <c r="I230" s="71"/>
      <c r="J230" s="7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65"/>
      <c r="B231" s="83"/>
      <c r="C231" s="65"/>
      <c r="D231" s="66"/>
      <c r="E231" s="51" t="s">
        <v>287</v>
      </c>
      <c r="F231" s="55"/>
      <c r="G231" s="58"/>
      <c r="H231" s="85"/>
      <c r="I231" s="86"/>
      <c r="J231" s="8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02"/>
      <c r="B232" s="89"/>
      <c r="C232" s="89"/>
      <c r="D232" s="89"/>
      <c r="E232" s="90" t="s">
        <v>287</v>
      </c>
      <c r="F232" s="28" t="s">
        <v>292</v>
      </c>
      <c r="G232" s="91">
        <f>SUM(G227:G231)</f>
        <v>2061.38</v>
      </c>
      <c r="H232" s="92"/>
      <c r="I232" s="89"/>
      <c r="J232" s="9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04">
        <v>38.0</v>
      </c>
      <c r="B233" s="47" t="s">
        <v>639</v>
      </c>
      <c r="C233" s="109">
        <v>46228.0</v>
      </c>
      <c r="D233" s="104">
        <v>2.0665766E7</v>
      </c>
      <c r="E233" s="112" t="s">
        <v>640</v>
      </c>
      <c r="F233" s="113" t="str">
        <f>'0403030'!B26</f>
        <v>Microcirurgia para tumor intracraniano (com tecnica complementar)</v>
      </c>
      <c r="G233" s="114">
        <f>'0403030'!C26</f>
        <v>2054.08</v>
      </c>
      <c r="H233" s="116" t="str">
        <f>'por medico'!A21</f>
        <v>WAGNER DE AZEVEDO  HERCULANO</v>
      </c>
      <c r="I233" s="61"/>
      <c r="J233" s="61" t="s">
        <v>175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65"/>
      <c r="B234" s="65"/>
      <c r="C234" s="65"/>
      <c r="D234" s="66"/>
      <c r="E234" s="112" t="s">
        <v>352</v>
      </c>
      <c r="F234" s="113" t="str">
        <f>'0403010'!B37</f>
        <v>tratamento cirurgico de fistula liquorica craniana</v>
      </c>
      <c r="G234" s="114">
        <f>'0403010'!C37</f>
        <v>671.94</v>
      </c>
      <c r="H234" s="68" t="str">
        <f>'por medico'!A17</f>
        <v>EDUARDO VARJÃO VIEIRA </v>
      </c>
      <c r="I234" s="71"/>
      <c r="J234" s="7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65"/>
      <c r="B235" s="65"/>
      <c r="C235" s="65"/>
      <c r="D235" s="66"/>
      <c r="E235" s="112" t="s">
        <v>455</v>
      </c>
      <c r="F235" s="113" t="str">
        <f>'0403010'!B26</f>
        <v>reconstução craniama /cranio-facial</v>
      </c>
      <c r="G235" s="114">
        <f>'0403010'!C26</f>
        <v>671.94</v>
      </c>
      <c r="H235" s="77"/>
      <c r="I235" s="71"/>
      <c r="J235" s="7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65"/>
      <c r="B236" s="65"/>
      <c r="C236" s="65"/>
      <c r="D236" s="66"/>
      <c r="E236" s="51" t="s">
        <v>456</v>
      </c>
      <c r="F236" s="96" t="str">
        <f>'0403030'!B16</f>
        <v>Craniotomia para retirada de tumor intracraniano</v>
      </c>
      <c r="G236" s="58">
        <f>'0403030'!C16</f>
        <v>554.4</v>
      </c>
      <c r="H236" s="77"/>
      <c r="I236" s="71"/>
      <c r="J236" s="7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65"/>
      <c r="B237" s="83"/>
      <c r="C237" s="65"/>
      <c r="D237" s="66"/>
      <c r="E237" s="51" t="s">
        <v>287</v>
      </c>
      <c r="F237" s="55"/>
      <c r="G237" s="58"/>
      <c r="H237" s="85"/>
      <c r="I237" s="86"/>
      <c r="J237" s="8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02"/>
      <c r="B238" s="89"/>
      <c r="C238" s="89"/>
      <c r="D238" s="89"/>
      <c r="E238" s="90" t="s">
        <v>287</v>
      </c>
      <c r="F238" s="28" t="s">
        <v>292</v>
      </c>
      <c r="G238" s="91">
        <f>SUM(G233:G237)</f>
        <v>3952.36</v>
      </c>
      <c r="H238" s="92"/>
      <c r="I238" s="89"/>
      <c r="J238" s="9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04">
        <v>39.0</v>
      </c>
      <c r="B239" s="109" t="s">
        <v>641</v>
      </c>
      <c r="C239" s="109">
        <v>46230.0</v>
      </c>
      <c r="D239" s="104">
        <v>2.0765954E7</v>
      </c>
      <c r="E239" s="51" t="s">
        <v>352</v>
      </c>
      <c r="F239" s="96" t="str">
        <f>'0403010'!B37</f>
        <v>tratamento cirurgico de fistula liquorica craniana</v>
      </c>
      <c r="G239" s="58">
        <f>'0403010'!C37</f>
        <v>671.94</v>
      </c>
      <c r="H239" s="59" t="str">
        <f>'por medico'!A14</f>
        <v>CAMILA MOURA DE SOUSA</v>
      </c>
      <c r="I239" s="61"/>
      <c r="J239" s="61" t="s">
        <v>175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65"/>
      <c r="B240" s="65"/>
      <c r="C240" s="65"/>
      <c r="D240" s="66"/>
      <c r="E240" s="51" t="s">
        <v>343</v>
      </c>
      <c r="F240" s="55" t="str">
        <f>'0403010'!B44</f>
        <v>Tratamento cirurgico de hematoma subdural cronico</v>
      </c>
      <c r="G240" s="58">
        <f>'0403010'!C44</f>
        <v>682.08</v>
      </c>
      <c r="H240" s="68" t="str">
        <f>'por medico'!A21</f>
        <v>WAGNER DE AZEVEDO  HERCULANO</v>
      </c>
      <c r="I240" s="71"/>
      <c r="J240" s="7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65"/>
      <c r="B241" s="65"/>
      <c r="C241" s="65"/>
      <c r="D241" s="66"/>
      <c r="E241" s="51" t="s">
        <v>398</v>
      </c>
      <c r="F241" s="96" t="str">
        <f>'0403010'!B21</f>
        <v>derivação ventricular externa -subgaleal  externa</v>
      </c>
      <c r="G241" s="58">
        <f>'0403010'!C21</f>
        <v>286</v>
      </c>
      <c r="H241" s="77"/>
      <c r="I241" s="71"/>
      <c r="J241" s="7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65"/>
      <c r="B242" s="65"/>
      <c r="C242" s="65"/>
      <c r="D242" s="66"/>
      <c r="E242" s="51" t="s">
        <v>339</v>
      </c>
      <c r="F242" s="96" t="str">
        <f>'0403010'!B49</f>
        <v>trepanação craniana para punção ou biopsia   </v>
      </c>
      <c r="G242" s="58">
        <f>'0403010'!C49</f>
        <v>107.52</v>
      </c>
      <c r="H242" s="77"/>
      <c r="I242" s="71"/>
      <c r="J242" s="7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65"/>
      <c r="B243" s="83"/>
      <c r="C243" s="65"/>
      <c r="D243" s="66"/>
      <c r="E243" s="51" t="s">
        <v>287</v>
      </c>
      <c r="F243" s="55"/>
      <c r="G243" s="58"/>
      <c r="H243" s="85"/>
      <c r="I243" s="86"/>
      <c r="J243" s="8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02"/>
      <c r="B244" s="89"/>
      <c r="C244" s="89"/>
      <c r="D244" s="89"/>
      <c r="E244" s="90" t="s">
        <v>287</v>
      </c>
      <c r="F244" s="28" t="s">
        <v>292</v>
      </c>
      <c r="G244" s="91">
        <f>SUM(G239:G243)</f>
        <v>1747.54</v>
      </c>
      <c r="H244" s="92"/>
      <c r="I244" s="89"/>
      <c r="J244" s="9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04">
        <v>40.0</v>
      </c>
      <c r="B245" s="163" t="s">
        <v>644</v>
      </c>
      <c r="C245" s="109">
        <v>46228.0</v>
      </c>
      <c r="D245" s="104">
        <v>2.0723219E7</v>
      </c>
      <c r="E245" s="112" t="s">
        <v>352</v>
      </c>
      <c r="F245" s="113" t="str">
        <f>'0403010'!B37</f>
        <v>tratamento cirurgico de fistula liquorica craniana</v>
      </c>
      <c r="G245" s="114">
        <f>'0403010'!C37</f>
        <v>671.94</v>
      </c>
      <c r="H245" s="116" t="str">
        <f>'por medico'!A14</f>
        <v>CAMILA MOURA DE SOUSA</v>
      </c>
      <c r="I245" s="61"/>
      <c r="J245" s="61" t="s">
        <v>175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65"/>
      <c r="B246" s="65"/>
      <c r="C246" s="65"/>
      <c r="D246" s="66"/>
      <c r="E246" s="112" t="s">
        <v>633</v>
      </c>
      <c r="F246" s="117" t="str">
        <f>'0403010'!B43</f>
        <v>Tratamento cirurgico de hematoma subdural agudo</v>
      </c>
      <c r="G246" s="114">
        <f>'0403010'!C43</f>
        <v>682.08</v>
      </c>
      <c r="H246" s="121" t="str">
        <f>'por medico'!A21</f>
        <v>WAGNER DE AZEVEDO  HERCULANO</v>
      </c>
      <c r="I246" s="71"/>
      <c r="J246" s="7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65"/>
      <c r="B247" s="65"/>
      <c r="C247" s="65"/>
      <c r="D247" s="66"/>
      <c r="E247" s="112" t="s">
        <v>344</v>
      </c>
      <c r="F247" s="113" t="str">
        <f>'0403010'!B14</f>
        <v>Craniotomia descompressiva</v>
      </c>
      <c r="G247" s="114">
        <f>'0403010'!C14</f>
        <v>391.86</v>
      </c>
      <c r="H247" s="77"/>
      <c r="I247" s="71"/>
      <c r="J247" s="7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65"/>
      <c r="B248" s="65"/>
      <c r="C248" s="65"/>
      <c r="D248" s="66"/>
      <c r="E248" s="51" t="s">
        <v>287</v>
      </c>
      <c r="F248" s="55"/>
      <c r="G248" s="58"/>
      <c r="H248" s="77"/>
      <c r="I248" s="71"/>
      <c r="J248" s="7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65"/>
      <c r="B249" s="83"/>
      <c r="C249" s="65"/>
      <c r="D249" s="66"/>
      <c r="E249" s="51" t="s">
        <v>287</v>
      </c>
      <c r="F249" s="55"/>
      <c r="G249" s="58"/>
      <c r="H249" s="85"/>
      <c r="I249" s="86"/>
      <c r="J249" s="8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02"/>
      <c r="B250" s="89"/>
      <c r="C250" s="89"/>
      <c r="D250" s="89"/>
      <c r="E250" s="90" t="s">
        <v>287</v>
      </c>
      <c r="F250" s="28" t="s">
        <v>292</v>
      </c>
      <c r="G250" s="91">
        <f>SUM(G245:G249)</f>
        <v>1745.88</v>
      </c>
      <c r="H250" s="92"/>
      <c r="I250" s="89"/>
      <c r="J250" s="9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04">
        <v>41.0</v>
      </c>
      <c r="B251" s="165" t="s">
        <v>645</v>
      </c>
      <c r="C251" s="109">
        <v>46224.0</v>
      </c>
      <c r="D251" s="104">
        <v>1.8965277E7</v>
      </c>
      <c r="E251" s="112" t="s">
        <v>423</v>
      </c>
      <c r="F251" s="117" t="str">
        <f>'0408030'!B22</f>
        <v>artrodese cervical anterior  4 niveis </v>
      </c>
      <c r="G251" s="114">
        <f>'0408030'!C22</f>
        <v>1155.78</v>
      </c>
      <c r="H251" s="59" t="str">
        <f>'por medico'!A23</f>
        <v>ARTUR BASTOS ROCHA</v>
      </c>
      <c r="I251" s="61"/>
      <c r="J251" s="61" t="s">
        <v>175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65"/>
      <c r="B252" s="65"/>
      <c r="C252" s="65"/>
      <c r="D252" s="66"/>
      <c r="E252" s="112" t="s">
        <v>325</v>
      </c>
      <c r="F252" s="113" t="str">
        <f>'0403010'!B38</f>
        <v>tratamento cirurgico de fistula liquorica raquidiana</v>
      </c>
      <c r="G252" s="114">
        <f>'0403010'!C38</f>
        <v>671.94</v>
      </c>
      <c r="H252" s="121" t="str">
        <f>'por medico'!A14</f>
        <v>CAMILA MOURA DE SOUSA</v>
      </c>
      <c r="I252" s="71"/>
      <c r="J252" s="7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65"/>
      <c r="B253" s="65"/>
      <c r="C253" s="65"/>
      <c r="D253" s="66"/>
      <c r="E253" s="112" t="s">
        <v>646</v>
      </c>
      <c r="F253" s="117" t="str">
        <f>'0408030'!B57</f>
        <v>disectomia cervical por via  anterior (2 ou  mais  niveis)</v>
      </c>
      <c r="G253" s="114">
        <f>'0408030'!C57</f>
        <v>533.52</v>
      </c>
      <c r="H253" s="77"/>
      <c r="I253" s="71"/>
      <c r="J253" s="7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65"/>
      <c r="B254" s="65"/>
      <c r="C254" s="65"/>
      <c r="D254" s="66"/>
      <c r="E254" s="51" t="s">
        <v>247</v>
      </c>
      <c r="F254" s="55" t="str">
        <f>'0403020'!B23</f>
        <v>tratamento cirurgico  de neuropatia compressiva com ou sem microcirurgia</v>
      </c>
      <c r="G254" s="58">
        <f>'0403020'!C23</f>
        <v>560</v>
      </c>
      <c r="H254" s="77"/>
      <c r="I254" s="71"/>
      <c r="J254" s="7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65"/>
      <c r="B255" s="83"/>
      <c r="C255" s="65"/>
      <c r="D255" s="66"/>
      <c r="E255" s="51" t="s">
        <v>287</v>
      </c>
      <c r="F255" s="55"/>
      <c r="G255" s="58"/>
      <c r="H255" s="85"/>
      <c r="I255" s="86"/>
      <c r="J255" s="8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02"/>
      <c r="B256" s="89"/>
      <c r="C256" s="89"/>
      <c r="D256" s="89"/>
      <c r="E256" s="90" t="s">
        <v>287</v>
      </c>
      <c r="F256" s="28" t="s">
        <v>292</v>
      </c>
      <c r="G256" s="91">
        <f>SUM(G251:G255)</f>
        <v>2921.24</v>
      </c>
      <c r="H256" s="92"/>
      <c r="I256" s="89"/>
      <c r="J256" s="9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04">
        <v>42.0</v>
      </c>
      <c r="B257" s="161" t="s">
        <v>647</v>
      </c>
      <c r="C257" s="109">
        <v>46227.0</v>
      </c>
      <c r="D257" s="104">
        <v>1.4457824E7</v>
      </c>
      <c r="E257" s="112" t="s">
        <v>648</v>
      </c>
      <c r="F257" s="117" t="str">
        <f>'0403020'!B19</f>
        <v>neurolise não funcional de nervos  perifericos</v>
      </c>
      <c r="G257" s="114">
        <f>'0403020'!C19</f>
        <v>180.75</v>
      </c>
      <c r="H257" s="59" t="str">
        <f>'por medico'!A21</f>
        <v>WAGNER DE AZEVEDO  HERCULANO</v>
      </c>
      <c r="I257" s="61"/>
      <c r="J257" s="61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65"/>
      <c r="B258" s="65"/>
      <c r="C258" s="65"/>
      <c r="D258" s="66"/>
      <c r="E258" s="112" t="s">
        <v>287</v>
      </c>
      <c r="F258" s="117"/>
      <c r="G258" s="114"/>
      <c r="H258" s="68" t="str">
        <f>'por medico'!A23</f>
        <v>ARTUR BASTOS ROCHA</v>
      </c>
      <c r="I258" s="71"/>
      <c r="J258" s="71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65"/>
      <c r="B259" s="65"/>
      <c r="C259" s="65"/>
      <c r="D259" s="66"/>
      <c r="E259" s="112" t="s">
        <v>287</v>
      </c>
      <c r="F259" s="117"/>
      <c r="G259" s="114"/>
      <c r="H259" s="77"/>
      <c r="I259" s="71"/>
      <c r="J259" s="71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65"/>
      <c r="B260" s="65"/>
      <c r="C260" s="65"/>
      <c r="D260" s="66"/>
      <c r="E260" s="112" t="s">
        <v>287</v>
      </c>
      <c r="F260" s="117"/>
      <c r="G260" s="114"/>
      <c r="H260" s="77"/>
      <c r="I260" s="71"/>
      <c r="J260" s="71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65"/>
      <c r="B261" s="83"/>
      <c r="C261" s="65"/>
      <c r="D261" s="66"/>
      <c r="E261" s="51" t="s">
        <v>287</v>
      </c>
      <c r="F261" s="55"/>
      <c r="G261" s="58"/>
      <c r="H261" s="85"/>
      <c r="I261" s="86"/>
      <c r="J261" s="8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03"/>
      <c r="B262" s="103"/>
      <c r="C262" s="103"/>
      <c r="D262" s="103"/>
      <c r="E262" s="120" t="s">
        <v>287</v>
      </c>
      <c r="F262" s="28" t="s">
        <v>292</v>
      </c>
      <c r="G262" s="91">
        <f>SUM(G257:G261)</f>
        <v>180.75</v>
      </c>
      <c r="H262" s="92"/>
      <c r="I262" s="89"/>
      <c r="J262" s="10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04">
        <v>43.0</v>
      </c>
      <c r="B263" s="161" t="s">
        <v>649</v>
      </c>
      <c r="C263" s="109">
        <v>46227.0</v>
      </c>
      <c r="D263" s="104">
        <v>1.6987141E7</v>
      </c>
      <c r="E263" s="112" t="s">
        <v>640</v>
      </c>
      <c r="F263" s="113" t="str">
        <f>'0403030'!B26</f>
        <v>Microcirurgia para tumor intracraniano (com tecnica complementar)</v>
      </c>
      <c r="G263" s="114">
        <f>'0403030'!C26</f>
        <v>2054.08</v>
      </c>
      <c r="H263" s="159" t="str">
        <f>'por medico'!A16</f>
        <v>LUIZ AUGUSTO MEDRADO SOEIRO</v>
      </c>
      <c r="I263" s="63"/>
      <c r="J263" s="61" t="s">
        <v>175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65"/>
      <c r="B264" s="65"/>
      <c r="C264" s="65"/>
      <c r="D264" s="66"/>
      <c r="E264" s="112" t="s">
        <v>352</v>
      </c>
      <c r="F264" s="113" t="str">
        <f>'0403010'!B37</f>
        <v>tratamento cirurgico de fistula liquorica craniana</v>
      </c>
      <c r="G264" s="114">
        <f>'0403010'!C37</f>
        <v>671.94</v>
      </c>
      <c r="H264" s="68" t="str">
        <f>'por medico'!A23</f>
        <v>ARTUR BASTOS ROCHA</v>
      </c>
      <c r="I264" s="80"/>
      <c r="J264" s="7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65"/>
      <c r="B265" s="65"/>
      <c r="C265" s="65"/>
      <c r="D265" s="66"/>
      <c r="E265" s="112" t="s">
        <v>455</v>
      </c>
      <c r="F265" s="113" t="str">
        <f>'0403010'!B26</f>
        <v>reconstução craniama /cranio-facial</v>
      </c>
      <c r="G265" s="114">
        <f>'0403010'!C26</f>
        <v>671.94</v>
      </c>
      <c r="H265" s="77"/>
      <c r="I265" s="71"/>
      <c r="J265" s="7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65"/>
      <c r="B266" s="65"/>
      <c r="C266" s="65"/>
      <c r="D266" s="66"/>
      <c r="E266" s="51" t="s">
        <v>456</v>
      </c>
      <c r="F266" s="96" t="str">
        <f>'0403030'!B16</f>
        <v>Craniotomia para retirada de tumor intracraniano</v>
      </c>
      <c r="G266" s="58">
        <f>'0403030'!C16</f>
        <v>554.4</v>
      </c>
      <c r="H266" s="77"/>
      <c r="I266" s="71"/>
      <c r="J266" s="7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65"/>
      <c r="B267" s="83"/>
      <c r="C267" s="65"/>
      <c r="D267" s="66"/>
      <c r="E267" s="51" t="s">
        <v>287</v>
      </c>
      <c r="F267" s="55"/>
      <c r="G267" s="58"/>
      <c r="H267" s="85"/>
      <c r="I267" s="86"/>
      <c r="J267" s="8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02"/>
      <c r="B268" s="89"/>
      <c r="C268" s="89"/>
      <c r="D268" s="89"/>
      <c r="E268" s="90" t="s">
        <v>287</v>
      </c>
      <c r="F268" s="28" t="s">
        <v>292</v>
      </c>
      <c r="G268" s="91">
        <f>SUM(G263:G267)</f>
        <v>3952.36</v>
      </c>
      <c r="H268" s="92"/>
      <c r="I268" s="89"/>
      <c r="J268" s="9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04">
        <v>44.0</v>
      </c>
      <c r="B269" s="165" t="s">
        <v>650</v>
      </c>
      <c r="C269" s="109">
        <v>46229.0</v>
      </c>
      <c r="D269" s="104">
        <v>2.0417739E7</v>
      </c>
      <c r="E269" s="112" t="s">
        <v>344</v>
      </c>
      <c r="F269" s="113" t="str">
        <f>'0403010'!B14</f>
        <v>Craniotomia descompressiva</v>
      </c>
      <c r="G269" s="114">
        <f>'0403010'!C14</f>
        <v>391.86</v>
      </c>
      <c r="H269" s="59" t="str">
        <f>'por medico'!A14</f>
        <v>CAMILA MOURA DE SOUSA</v>
      </c>
      <c r="I269" s="61"/>
      <c r="J269" s="61" t="s">
        <v>175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65"/>
      <c r="B270" s="65"/>
      <c r="C270" s="65"/>
      <c r="D270" s="66"/>
      <c r="E270" s="112" t="s">
        <v>287</v>
      </c>
      <c r="F270" s="117"/>
      <c r="G270" s="114"/>
      <c r="H270" s="68" t="str">
        <f>'por medico'!A21</f>
        <v>WAGNER DE AZEVEDO  HERCULANO</v>
      </c>
      <c r="I270" s="71"/>
      <c r="J270" s="7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65"/>
      <c r="B271" s="65"/>
      <c r="C271" s="65"/>
      <c r="D271" s="66"/>
      <c r="E271" s="112" t="s">
        <v>287</v>
      </c>
      <c r="F271" s="117"/>
      <c r="G271" s="114"/>
      <c r="H271" s="77"/>
      <c r="I271" s="71"/>
      <c r="J271" s="7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65"/>
      <c r="B272" s="65"/>
      <c r="C272" s="65"/>
      <c r="D272" s="66"/>
      <c r="E272" s="51" t="s">
        <v>287</v>
      </c>
      <c r="F272" s="55"/>
      <c r="G272" s="58"/>
      <c r="H272" s="77"/>
      <c r="I272" s="71"/>
      <c r="J272" s="7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65"/>
      <c r="B273" s="83"/>
      <c r="C273" s="65"/>
      <c r="D273" s="66"/>
      <c r="E273" s="51" t="s">
        <v>287</v>
      </c>
      <c r="F273" s="55"/>
      <c r="G273" s="58"/>
      <c r="H273" s="85"/>
      <c r="I273" s="86"/>
      <c r="J273" s="8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02"/>
      <c r="B274" s="89"/>
      <c r="C274" s="89"/>
      <c r="D274" s="89"/>
      <c r="E274" s="90" t="s">
        <v>287</v>
      </c>
      <c r="F274" s="28" t="s">
        <v>292</v>
      </c>
      <c r="G274" s="91">
        <f>SUM(G269:G273)</f>
        <v>391.86</v>
      </c>
      <c r="H274" s="92"/>
      <c r="I274" s="89"/>
      <c r="J274" s="9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04">
        <v>45.0</v>
      </c>
      <c r="B275" s="166" t="s">
        <v>651</v>
      </c>
      <c r="C275" s="109">
        <v>46228.0</v>
      </c>
      <c r="D275" s="104">
        <v>2.0599759E7</v>
      </c>
      <c r="E275" s="51" t="s">
        <v>352</v>
      </c>
      <c r="F275" s="96" t="str">
        <f>'0403010'!B37</f>
        <v>tratamento cirurgico de fistula liquorica craniana</v>
      </c>
      <c r="G275" s="58">
        <f>'0403010'!C37</f>
        <v>671.94</v>
      </c>
      <c r="H275" s="59" t="str">
        <f>'por medico'!A14</f>
        <v>CAMILA MOURA DE SOUSA</v>
      </c>
      <c r="I275" s="61"/>
      <c r="J275" s="61" t="s">
        <v>175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65"/>
      <c r="B276" s="65"/>
      <c r="C276" s="65"/>
      <c r="D276" s="66"/>
      <c r="E276" s="51" t="s">
        <v>633</v>
      </c>
      <c r="F276" s="55" t="str">
        <f>'0403010'!B43</f>
        <v>Tratamento cirurgico de hematoma subdural agudo</v>
      </c>
      <c r="G276" s="58">
        <f>'0403010'!C43</f>
        <v>682.08</v>
      </c>
      <c r="H276" s="68" t="str">
        <f>'por medico'!A21</f>
        <v>WAGNER DE AZEVEDO  HERCULANO</v>
      </c>
      <c r="I276" s="71"/>
      <c r="J276" s="7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65"/>
      <c r="B277" s="65"/>
      <c r="C277" s="65"/>
      <c r="D277" s="66"/>
      <c r="E277" s="112" t="s">
        <v>344</v>
      </c>
      <c r="F277" s="113" t="str">
        <f>'0403010'!B14</f>
        <v>Craniotomia descompressiva</v>
      </c>
      <c r="G277" s="114">
        <f>'0403010'!C14</f>
        <v>391.86</v>
      </c>
      <c r="H277" s="77"/>
      <c r="I277" s="71"/>
      <c r="J277" s="7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65"/>
      <c r="B278" s="65"/>
      <c r="C278" s="65"/>
      <c r="D278" s="66"/>
      <c r="E278" s="51" t="s">
        <v>287</v>
      </c>
      <c r="F278" s="55"/>
      <c r="G278" s="58"/>
      <c r="H278" s="77"/>
      <c r="I278" s="71"/>
      <c r="J278" s="7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65"/>
      <c r="B279" s="83"/>
      <c r="C279" s="65"/>
      <c r="D279" s="66"/>
      <c r="E279" s="51" t="s">
        <v>287</v>
      </c>
      <c r="F279" s="55"/>
      <c r="G279" s="58"/>
      <c r="H279" s="85"/>
      <c r="I279" s="86"/>
      <c r="J279" s="8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02"/>
      <c r="B280" s="89"/>
      <c r="C280" s="89"/>
      <c r="D280" s="89"/>
      <c r="E280" s="90" t="s">
        <v>287</v>
      </c>
      <c r="F280" s="28" t="s">
        <v>292</v>
      </c>
      <c r="G280" s="91">
        <f>SUM(G275:G279)</f>
        <v>1745.88</v>
      </c>
      <c r="H280" s="92"/>
      <c r="I280" s="89"/>
      <c r="J280" s="9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04">
        <v>46.0</v>
      </c>
      <c r="B281" s="165" t="s">
        <v>652</v>
      </c>
      <c r="C281" s="109">
        <v>46217.0</v>
      </c>
      <c r="D281" s="104">
        <v>2.048222E7</v>
      </c>
      <c r="E281" s="112" t="s">
        <v>352</v>
      </c>
      <c r="F281" s="113" t="str">
        <f>'0403010'!B37</f>
        <v>tratamento cirurgico de fistula liquorica craniana</v>
      </c>
      <c r="G281" s="114">
        <f>'0403010'!C37</f>
        <v>671.94</v>
      </c>
      <c r="H281" s="116" t="str">
        <f>'por medico'!A19</f>
        <v>PEDRO HENRIQUE V.  PONDÉ DE SENA</v>
      </c>
      <c r="I281" s="61"/>
      <c r="J281" s="61" t="s">
        <v>175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65"/>
      <c r="B282" s="65"/>
      <c r="C282" s="65"/>
      <c r="D282" s="66"/>
      <c r="E282" s="112" t="s">
        <v>343</v>
      </c>
      <c r="F282" s="117" t="str">
        <f>'0403010'!B44</f>
        <v>Tratamento cirurgico de hematoma subdural cronico</v>
      </c>
      <c r="G282" s="114">
        <f>'0403010'!C44</f>
        <v>682.08</v>
      </c>
      <c r="H282" s="68" t="str">
        <f>'por medico'!A14</f>
        <v>CAMILA MOURA DE SOUSA</v>
      </c>
      <c r="I282" s="71"/>
      <c r="J282" s="7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65"/>
      <c r="B283" s="65"/>
      <c r="C283" s="65"/>
      <c r="D283" s="66"/>
      <c r="E283" s="112" t="s">
        <v>398</v>
      </c>
      <c r="F283" s="113" t="str">
        <f>'0403010'!B21</f>
        <v>derivação ventricular externa -subgaleal  externa</v>
      </c>
      <c r="G283" s="114">
        <f>'0403010'!C21</f>
        <v>286</v>
      </c>
      <c r="H283" s="77"/>
      <c r="I283" s="71"/>
      <c r="J283" s="7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65"/>
      <c r="B284" s="65"/>
      <c r="C284" s="65"/>
      <c r="D284" s="66"/>
      <c r="E284" s="51" t="s">
        <v>344</v>
      </c>
      <c r="F284" s="96" t="str">
        <f>'0403010'!B14</f>
        <v>Craniotomia descompressiva</v>
      </c>
      <c r="G284" s="58">
        <f>'0403010'!C14</f>
        <v>391.86</v>
      </c>
      <c r="H284" s="77"/>
      <c r="I284" s="71"/>
      <c r="J284" s="7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65"/>
      <c r="B285" s="83"/>
      <c r="C285" s="65"/>
      <c r="D285" s="66"/>
      <c r="E285" s="51" t="s">
        <v>626</v>
      </c>
      <c r="F285" s="96" t="str">
        <f>'0403010'!B47</f>
        <v>trepanação craniana para propedeutica neurocirurgica/implante para monitoração pic</v>
      </c>
      <c r="G285" s="58">
        <f>'0403010'!C47</f>
        <v>107.52</v>
      </c>
      <c r="H285" s="85"/>
      <c r="I285" s="86"/>
      <c r="J285" s="8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02"/>
      <c r="B286" s="89"/>
      <c r="C286" s="89"/>
      <c r="D286" s="89"/>
      <c r="E286" s="90" t="s">
        <v>287</v>
      </c>
      <c r="F286" s="28" t="s">
        <v>292</v>
      </c>
      <c r="G286" s="91">
        <f>SUM(G281:G285)</f>
        <v>2139.4</v>
      </c>
      <c r="H286" s="92"/>
      <c r="I286" s="89"/>
      <c r="J286" s="9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04">
        <v>47.0</v>
      </c>
      <c r="B287" s="165" t="s">
        <v>653</v>
      </c>
      <c r="C287" s="109">
        <v>46222.0</v>
      </c>
      <c r="D287" s="104">
        <v>1.6688154E7</v>
      </c>
      <c r="E287" s="51" t="s">
        <v>594</v>
      </c>
      <c r="F287" s="96" t="str">
        <f>'0403010'!B23</f>
        <v>descompressão de orbita por doença  ou trauma</v>
      </c>
      <c r="G287" s="58">
        <f>'0403010'!C23</f>
        <v>786.5</v>
      </c>
      <c r="H287" s="59" t="str">
        <f>'por medico'!A17</f>
        <v>EDUARDO VARJÃO VIEIRA </v>
      </c>
      <c r="I287" s="61"/>
      <c r="J287" s="61" t="s">
        <v>175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65"/>
      <c r="B288" s="65"/>
      <c r="C288" s="65"/>
      <c r="D288" s="66"/>
      <c r="E288" s="51" t="s">
        <v>580</v>
      </c>
      <c r="F288" s="96" t="str">
        <f>'0403010'!B13</f>
        <v>Cranioplastia </v>
      </c>
      <c r="G288" s="58">
        <f>'0403010'!C13</f>
        <v>522.48</v>
      </c>
      <c r="H288" s="68" t="str">
        <f>'por medico'!A23</f>
        <v>ARTUR BASTOS ROCHA</v>
      </c>
      <c r="I288" s="71"/>
      <c r="J288" s="7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65"/>
      <c r="B289" s="65"/>
      <c r="C289" s="65"/>
      <c r="D289" s="66"/>
      <c r="E289" s="112" t="s">
        <v>287</v>
      </c>
      <c r="F289" s="117"/>
      <c r="G289" s="114"/>
      <c r="H289" s="77"/>
      <c r="I289" s="71"/>
      <c r="J289" s="7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65"/>
      <c r="B290" s="65"/>
      <c r="C290" s="65"/>
      <c r="D290" s="66"/>
      <c r="E290" s="51" t="s">
        <v>287</v>
      </c>
      <c r="F290" s="55"/>
      <c r="G290" s="58"/>
      <c r="H290" s="77"/>
      <c r="I290" s="71"/>
      <c r="J290" s="7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65"/>
      <c r="B291" s="83"/>
      <c r="C291" s="65"/>
      <c r="D291" s="66"/>
      <c r="E291" s="51" t="s">
        <v>287</v>
      </c>
      <c r="F291" s="55"/>
      <c r="G291" s="58"/>
      <c r="H291" s="85"/>
      <c r="I291" s="86"/>
      <c r="J291" s="8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02"/>
      <c r="B292" s="89"/>
      <c r="C292" s="89"/>
      <c r="D292" s="89"/>
      <c r="E292" s="90" t="s">
        <v>287</v>
      </c>
      <c r="F292" s="28" t="s">
        <v>292</v>
      </c>
      <c r="G292" s="91">
        <f>SUM(G287:G291)</f>
        <v>1308.98</v>
      </c>
      <c r="H292" s="92"/>
      <c r="I292" s="89"/>
      <c r="J292" s="9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04">
        <v>48.0</v>
      </c>
      <c r="B293" s="161" t="s">
        <v>654</v>
      </c>
      <c r="C293" s="109">
        <v>46224.0</v>
      </c>
      <c r="D293" s="104">
        <v>9525684.0</v>
      </c>
      <c r="E293" s="112" t="s">
        <v>655</v>
      </c>
      <c r="F293" s="113" t="str">
        <f>'0403010'!B25</f>
        <v>microcirurgia da siringomielia</v>
      </c>
      <c r="G293" s="114">
        <f>'0403010'!C25</f>
        <v>896.19</v>
      </c>
      <c r="H293" s="59" t="str">
        <f>'por medico'!A23</f>
        <v>ARTUR BASTOS ROCHA</v>
      </c>
      <c r="I293" s="61"/>
      <c r="J293" s="61" t="s">
        <v>175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65"/>
      <c r="B294" s="65"/>
      <c r="C294" s="65"/>
      <c r="D294" s="66"/>
      <c r="E294" s="112" t="s">
        <v>656</v>
      </c>
      <c r="F294" s="117" t="str">
        <f>'0408030'!B14</f>
        <v>artrodese cervical /cervico toráxica posterior 1 nivel</v>
      </c>
      <c r="G294" s="114">
        <f>'0408030'!C14</f>
        <v>611</v>
      </c>
      <c r="H294" s="68" t="str">
        <f>'por medico'!A14</f>
        <v>CAMILA MOURA DE SOUSA</v>
      </c>
      <c r="I294" s="71"/>
      <c r="J294" s="7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65"/>
      <c r="B295" s="65"/>
      <c r="C295" s="65"/>
      <c r="D295" s="66"/>
      <c r="E295" s="112" t="s">
        <v>657</v>
      </c>
      <c r="F295" s="117" t="str">
        <f>'0408030'!B49</f>
        <v>descompressão ossea na junção cranio cervical vias posterior</v>
      </c>
      <c r="G295" s="114">
        <f>'0408030'!C49</f>
        <v>470</v>
      </c>
      <c r="H295" s="77"/>
      <c r="I295" s="71"/>
      <c r="J295" s="7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65"/>
      <c r="B296" s="65"/>
      <c r="C296" s="65"/>
      <c r="D296" s="66"/>
      <c r="E296" s="51" t="s">
        <v>254</v>
      </c>
      <c r="F296" s="55" t="str">
        <f>'0408030'!B66</f>
        <v>ressecção de elemento vertebral posterior /postero-lateral /distal a C2 ( até 2 segmentos)</v>
      </c>
      <c r="G296" s="58">
        <f>'0408030'!C66</f>
        <v>288</v>
      </c>
      <c r="H296" s="77"/>
      <c r="I296" s="71"/>
      <c r="J296" s="7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65"/>
      <c r="B297" s="83"/>
      <c r="C297" s="65"/>
      <c r="D297" s="66"/>
      <c r="E297" s="51" t="s">
        <v>287</v>
      </c>
      <c r="F297" s="55"/>
      <c r="G297" s="58"/>
      <c r="H297" s="85"/>
      <c r="I297" s="86"/>
      <c r="J297" s="8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02"/>
      <c r="B298" s="89"/>
      <c r="C298" s="89"/>
      <c r="D298" s="89"/>
      <c r="E298" s="90" t="s">
        <v>287</v>
      </c>
      <c r="F298" s="28" t="s">
        <v>292</v>
      </c>
      <c r="G298" s="91">
        <f>SUM(G293:G297)</f>
        <v>2265.19</v>
      </c>
      <c r="H298" s="92"/>
      <c r="I298" s="89"/>
      <c r="J298" s="9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04">
        <v>49.0</v>
      </c>
      <c r="B299" s="109" t="s">
        <v>658</v>
      </c>
      <c r="C299" s="109">
        <v>46225.0</v>
      </c>
      <c r="D299" s="104">
        <v>2.0497293E7</v>
      </c>
      <c r="E299" s="112" t="s">
        <v>440</v>
      </c>
      <c r="F299" s="113" t="str">
        <f>'0403010'!B31</f>
        <v>tratamento cirurgico de abcesso intracraniano</v>
      </c>
      <c r="G299" s="114">
        <f>'0403010'!C31</f>
        <v>559.95</v>
      </c>
      <c r="H299" s="59" t="str">
        <f>'por medico'!A23</f>
        <v>ARTUR BASTOS ROCHA</v>
      </c>
      <c r="I299" s="61"/>
      <c r="J299" s="6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65"/>
      <c r="B300" s="65"/>
      <c r="C300" s="65"/>
      <c r="D300" s="66"/>
      <c r="E300" s="112" t="s">
        <v>441</v>
      </c>
      <c r="F300" s="113" t="str">
        <f>'0403010'!B29</f>
        <v>retirada de placa de cranioplastia</v>
      </c>
      <c r="G300" s="114">
        <f>'0403010'!C29</f>
        <v>391.86</v>
      </c>
      <c r="H300" s="68" t="str">
        <f>'por medico'!A17</f>
        <v>EDUARDO VARJÃO VIEIRA </v>
      </c>
      <c r="I300" s="71"/>
      <c r="J300" s="7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65"/>
      <c r="B301" s="65"/>
      <c r="C301" s="65"/>
      <c r="D301" s="66"/>
      <c r="E301" s="112" t="s">
        <v>344</v>
      </c>
      <c r="F301" s="113" t="str">
        <f>'0403010'!B14</f>
        <v>Craniotomia descompressiva</v>
      </c>
      <c r="G301" s="114">
        <f>'0403010'!C14</f>
        <v>391.86</v>
      </c>
      <c r="H301" s="77"/>
      <c r="I301" s="71"/>
      <c r="J301" s="7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65"/>
      <c r="B302" s="65"/>
      <c r="C302" s="65"/>
      <c r="D302" s="66"/>
      <c r="E302" s="51" t="s">
        <v>287</v>
      </c>
      <c r="F302" s="55"/>
      <c r="G302" s="58"/>
      <c r="H302" s="77"/>
      <c r="I302" s="71"/>
      <c r="J302" s="7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65"/>
      <c r="B303" s="83"/>
      <c r="C303" s="65"/>
      <c r="D303" s="66"/>
      <c r="E303" s="51" t="s">
        <v>287</v>
      </c>
      <c r="F303" s="55"/>
      <c r="G303" s="58"/>
      <c r="H303" s="85"/>
      <c r="I303" s="86"/>
      <c r="J303" s="8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02"/>
      <c r="B304" s="89"/>
      <c r="C304" s="89"/>
      <c r="D304" s="89"/>
      <c r="E304" s="90" t="s">
        <v>287</v>
      </c>
      <c r="F304" s="28" t="s">
        <v>292</v>
      </c>
      <c r="G304" s="91">
        <f>SUM(G299:G303)</f>
        <v>1343.67</v>
      </c>
      <c r="H304" s="92"/>
      <c r="I304" s="89"/>
      <c r="J304" s="9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04">
        <v>50.0</v>
      </c>
      <c r="B305" s="109" t="s">
        <v>658</v>
      </c>
      <c r="C305" s="109">
        <v>46219.0</v>
      </c>
      <c r="D305" s="104">
        <v>2.0497293E7</v>
      </c>
      <c r="E305" s="112" t="s">
        <v>352</v>
      </c>
      <c r="F305" s="113" t="str">
        <f>'0403010'!B37</f>
        <v>tratamento cirurgico de fistula liquorica craniana</v>
      </c>
      <c r="G305" s="114">
        <f>'0403010'!C37</f>
        <v>671.94</v>
      </c>
      <c r="H305" s="59" t="str">
        <f>'por medico'!A17</f>
        <v>EDUARDO VARJÃO VIEIRA </v>
      </c>
      <c r="I305" s="61"/>
      <c r="J305" s="61" t="s">
        <v>175</v>
      </c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65"/>
      <c r="B306" s="65"/>
      <c r="C306" s="65"/>
      <c r="D306" s="66"/>
      <c r="E306" s="112" t="s">
        <v>455</v>
      </c>
      <c r="F306" s="113" t="str">
        <f>'0403010'!B26</f>
        <v>reconstução craniama /cranio-facial</v>
      </c>
      <c r="G306" s="114">
        <f>'0403010'!C26</f>
        <v>671.94</v>
      </c>
      <c r="H306" s="121" t="str">
        <f>'por medico'!A15</f>
        <v>JAQUISSON  DE DEUS GUIMARÃES FILHO</v>
      </c>
      <c r="I306" s="71"/>
      <c r="J306" s="71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65"/>
      <c r="B307" s="65"/>
      <c r="C307" s="65"/>
      <c r="D307" s="66"/>
      <c r="E307" s="112" t="s">
        <v>659</v>
      </c>
      <c r="F307" s="113" t="str">
        <f>'0403010'!B40</f>
        <v>tratamento cirurgico de hematoma extradural</v>
      </c>
      <c r="G307" s="114">
        <f>'0403010'!C40</f>
        <v>682.08</v>
      </c>
      <c r="H307" s="77"/>
      <c r="I307" s="71"/>
      <c r="J307" s="71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65"/>
      <c r="B308" s="65"/>
      <c r="C308" s="65"/>
      <c r="D308" s="66"/>
      <c r="E308" s="112" t="s">
        <v>606</v>
      </c>
      <c r="F308" s="113" t="str">
        <f>'0403010'!B39</f>
        <v>tratamento cirurgico de fratura do craniano com afundamento</v>
      </c>
      <c r="G308" s="114">
        <f>'0403010'!C39</f>
        <v>391.86</v>
      </c>
      <c r="H308" s="77"/>
      <c r="I308" s="71"/>
      <c r="J308" s="71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65"/>
      <c r="B309" s="83"/>
      <c r="C309" s="65"/>
      <c r="D309" s="66"/>
      <c r="E309" s="112" t="s">
        <v>344</v>
      </c>
      <c r="F309" s="113" t="str">
        <f>'0403010'!B14</f>
        <v>Craniotomia descompressiva</v>
      </c>
      <c r="G309" s="114">
        <f>'0403010'!C14</f>
        <v>391.86</v>
      </c>
      <c r="H309" s="85"/>
      <c r="I309" s="86"/>
      <c r="J309" s="86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2"/>
      <c r="B310" s="89"/>
      <c r="C310" s="89"/>
      <c r="D310" s="89"/>
      <c r="E310" s="90" t="s">
        <v>287</v>
      </c>
      <c r="F310" s="28" t="s">
        <v>292</v>
      </c>
      <c r="G310" s="91">
        <f>SUM(G305:G309)</f>
        <v>2809.68</v>
      </c>
      <c r="H310" s="92"/>
      <c r="I310" s="89"/>
      <c r="J310" s="9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40">
        <v>51.0</v>
      </c>
      <c r="B311" s="47" t="s">
        <v>661</v>
      </c>
      <c r="C311" s="47">
        <v>46227.0</v>
      </c>
      <c r="D311" s="40">
        <v>2.0692646E7</v>
      </c>
      <c r="E311" s="51" t="s">
        <v>343</v>
      </c>
      <c r="F311" s="55" t="str">
        <f>'0403010'!B44</f>
        <v>Tratamento cirurgico de hematoma subdural cronico</v>
      </c>
      <c r="G311" s="58">
        <f>'0403010'!C44</f>
        <v>682.08</v>
      </c>
      <c r="H311" s="116" t="str">
        <f>'por medico'!A23</f>
        <v>ARTUR BASTOS ROCHA</v>
      </c>
      <c r="I311" s="61"/>
      <c r="J311" s="63" t="s">
        <v>175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65"/>
      <c r="B312" s="65"/>
      <c r="C312" s="65"/>
      <c r="D312" s="66"/>
      <c r="E312" s="112" t="s">
        <v>398</v>
      </c>
      <c r="F312" s="113" t="str">
        <f>'0403010'!B21</f>
        <v>derivação ventricular externa -subgaleal  externa</v>
      </c>
      <c r="G312" s="114">
        <f>'0403010'!C21</f>
        <v>286</v>
      </c>
      <c r="H312" s="68" t="str">
        <f>'por medico'!A21</f>
        <v>WAGNER DE AZEVEDO  HERCULANO</v>
      </c>
      <c r="I312" s="71"/>
      <c r="J312" s="7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65"/>
      <c r="B313" s="65"/>
      <c r="C313" s="65"/>
      <c r="D313" s="66"/>
      <c r="E313" s="112" t="s">
        <v>339</v>
      </c>
      <c r="F313" s="113" t="str">
        <f>'0403010'!B49</f>
        <v>trepanação craniana para punção ou biopsia   </v>
      </c>
      <c r="G313" s="114">
        <f>'0403010'!C49</f>
        <v>107.52</v>
      </c>
      <c r="H313" s="77"/>
      <c r="I313" s="71"/>
      <c r="J313" s="7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65"/>
      <c r="B314" s="65"/>
      <c r="C314" s="65"/>
      <c r="D314" s="66"/>
      <c r="E314" s="51" t="s">
        <v>287</v>
      </c>
      <c r="F314" s="55"/>
      <c r="G314" s="58"/>
      <c r="H314" s="77"/>
      <c r="I314" s="71"/>
      <c r="J314" s="7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65"/>
      <c r="B315" s="83"/>
      <c r="C315" s="65"/>
      <c r="D315" s="66"/>
      <c r="E315" s="51" t="s">
        <v>287</v>
      </c>
      <c r="F315" s="55"/>
      <c r="G315" s="58"/>
      <c r="H315" s="85"/>
      <c r="I315" s="86"/>
      <c r="J315" s="8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02"/>
      <c r="B316" s="89"/>
      <c r="C316" s="89"/>
      <c r="D316" s="89"/>
      <c r="E316" s="90" t="s">
        <v>287</v>
      </c>
      <c r="F316" s="28" t="s">
        <v>292</v>
      </c>
      <c r="G316" s="91">
        <f>SUM(G311:G315)</f>
        <v>1075.6</v>
      </c>
      <c r="H316" s="92"/>
      <c r="I316" s="89"/>
      <c r="J316" s="9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04">
        <v>52.0</v>
      </c>
      <c r="B317" s="175" t="s">
        <v>664</v>
      </c>
      <c r="C317" s="47">
        <v>46230.0</v>
      </c>
      <c r="D317" s="40">
        <v>2.0740593E7</v>
      </c>
      <c r="E317" s="112" t="s">
        <v>352</v>
      </c>
      <c r="F317" s="113" t="str">
        <f>'0403010'!B37</f>
        <v>tratamento cirurgico de fistula liquorica craniana</v>
      </c>
      <c r="G317" s="114">
        <f>'0403010'!C37</f>
        <v>671.94</v>
      </c>
      <c r="H317" s="59" t="str">
        <f>'por medico'!A14</f>
        <v>CAMILA MOURA DE SOUSA</v>
      </c>
      <c r="I317" s="61"/>
      <c r="J317" s="61" t="s">
        <v>175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65"/>
      <c r="B318" s="65"/>
      <c r="C318" s="65"/>
      <c r="D318" s="66"/>
      <c r="E318" s="112" t="s">
        <v>633</v>
      </c>
      <c r="F318" s="117" t="str">
        <f>'0403010'!B43</f>
        <v>Tratamento cirurgico de hematoma subdural agudo</v>
      </c>
      <c r="G318" s="114">
        <f>'0403010'!C43</f>
        <v>682.08</v>
      </c>
      <c r="H318" s="68" t="str">
        <f>'por medico'!A21</f>
        <v>WAGNER DE AZEVEDO  HERCULANO</v>
      </c>
      <c r="I318" s="71"/>
      <c r="J318" s="7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65"/>
      <c r="B319" s="65"/>
      <c r="C319" s="65"/>
      <c r="D319" s="66"/>
      <c r="E319" s="112" t="s">
        <v>344</v>
      </c>
      <c r="F319" s="113" t="str">
        <f>'0403010'!B14</f>
        <v>Craniotomia descompressiva</v>
      </c>
      <c r="G319" s="114">
        <f>'0403010'!C14</f>
        <v>391.86</v>
      </c>
      <c r="H319" s="77"/>
      <c r="I319" s="71"/>
      <c r="J319" s="7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65"/>
      <c r="B320" s="65"/>
      <c r="C320" s="65"/>
      <c r="D320" s="66"/>
      <c r="E320" s="51" t="s">
        <v>287</v>
      </c>
      <c r="F320" s="55"/>
      <c r="G320" s="58"/>
      <c r="H320" s="77"/>
      <c r="I320" s="71"/>
      <c r="J320" s="7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65"/>
      <c r="B321" s="83"/>
      <c r="C321" s="65"/>
      <c r="D321" s="66"/>
      <c r="E321" s="51" t="s">
        <v>287</v>
      </c>
      <c r="F321" s="55"/>
      <c r="G321" s="58"/>
      <c r="H321" s="85"/>
      <c r="I321" s="86"/>
      <c r="J321" s="8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02"/>
      <c r="B322" s="89"/>
      <c r="C322" s="89"/>
      <c r="D322" s="89"/>
      <c r="E322" s="90" t="s">
        <v>287</v>
      </c>
      <c r="F322" s="28" t="s">
        <v>292</v>
      </c>
      <c r="G322" s="91">
        <f>SUM(G317:G321)</f>
        <v>1745.88</v>
      </c>
      <c r="H322" s="92"/>
      <c r="I322" s="89"/>
      <c r="J322" s="9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04">
        <v>53.0</v>
      </c>
      <c r="B323" s="165" t="s">
        <v>667</v>
      </c>
      <c r="C323" s="109">
        <v>46228.0</v>
      </c>
      <c r="D323" s="104">
        <v>2.0722633E7</v>
      </c>
      <c r="E323" s="112" t="s">
        <v>343</v>
      </c>
      <c r="F323" s="117" t="str">
        <f>'0403010'!B44</f>
        <v>Tratamento cirurgico de hematoma subdural cronico</v>
      </c>
      <c r="G323" s="114">
        <f>'0403010'!C44</f>
        <v>682.08</v>
      </c>
      <c r="H323" s="116" t="str">
        <f>'por medico'!A14</f>
        <v>CAMILA MOURA DE SOUSA</v>
      </c>
      <c r="I323" s="61"/>
      <c r="J323" s="61" t="s">
        <v>175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65"/>
      <c r="B324" s="65"/>
      <c r="C324" s="65"/>
      <c r="D324" s="66"/>
      <c r="E324" s="112" t="s">
        <v>580</v>
      </c>
      <c r="F324" s="113" t="str">
        <f>'0403010'!B13</f>
        <v>Cranioplastia </v>
      </c>
      <c r="G324" s="114">
        <f>'0403010'!C13</f>
        <v>522.48</v>
      </c>
      <c r="H324" s="68" t="str">
        <f>'por medico'!A21</f>
        <v>WAGNER DE AZEVEDO  HERCULANO</v>
      </c>
      <c r="I324" s="71"/>
      <c r="J324" s="7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65"/>
      <c r="B325" s="65"/>
      <c r="C325" s="65"/>
      <c r="D325" s="66"/>
      <c r="E325" s="112" t="s">
        <v>398</v>
      </c>
      <c r="F325" s="113" t="str">
        <f>'0403010'!B21</f>
        <v>derivação ventricular externa -subgaleal  externa</v>
      </c>
      <c r="G325" s="114">
        <f>'0403010'!C21</f>
        <v>286</v>
      </c>
      <c r="H325" s="77"/>
      <c r="I325" s="71"/>
      <c r="J325" s="7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65"/>
      <c r="B326" s="65"/>
      <c r="C326" s="65"/>
      <c r="D326" s="66"/>
      <c r="E326" s="51" t="s">
        <v>344</v>
      </c>
      <c r="F326" s="96" t="str">
        <f>'0403010'!B14</f>
        <v>Craniotomia descompressiva</v>
      </c>
      <c r="G326" s="58">
        <f>'0403010'!C14</f>
        <v>391.86</v>
      </c>
      <c r="H326" s="77"/>
      <c r="I326" s="71"/>
      <c r="J326" s="7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65"/>
      <c r="B327" s="83"/>
      <c r="C327" s="65"/>
      <c r="D327" s="66"/>
      <c r="E327" s="51" t="s">
        <v>339</v>
      </c>
      <c r="F327" s="96" t="str">
        <f>'0403010'!B49</f>
        <v>trepanação craniana para punção ou biopsia   </v>
      </c>
      <c r="G327" s="58">
        <f>'0403010'!C49</f>
        <v>107.52</v>
      </c>
      <c r="H327" s="85"/>
      <c r="I327" s="86"/>
      <c r="J327" s="8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03"/>
      <c r="B328" s="103"/>
      <c r="C328" s="103"/>
      <c r="D328" s="103"/>
      <c r="E328" s="120" t="s">
        <v>287</v>
      </c>
      <c r="F328" s="28" t="s">
        <v>292</v>
      </c>
      <c r="G328" s="91">
        <f>SUM(G323:G327)</f>
        <v>1989.94</v>
      </c>
      <c r="H328" s="92"/>
      <c r="I328" s="89"/>
      <c r="J328" s="10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40">
        <v>54.0</v>
      </c>
      <c r="B329" s="165" t="s">
        <v>450</v>
      </c>
      <c r="C329" s="109">
        <v>46224.0</v>
      </c>
      <c r="D329" s="104">
        <v>1.0274421E7</v>
      </c>
      <c r="E329" s="51" t="s">
        <v>628</v>
      </c>
      <c r="F329" s="96" t="str">
        <f>'0403010'!B16</f>
        <v>Craniotomia para retirada de cisto/ abcesso/granuloma encefalico</v>
      </c>
      <c r="G329" s="58">
        <f>'0403010'!C16</f>
        <v>671.94</v>
      </c>
      <c r="H329" s="59" t="str">
        <f>'por medico'!A14</f>
        <v>CAMILA MOURA DE SOUSA</v>
      </c>
      <c r="I329" s="61"/>
      <c r="J329" s="6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65"/>
      <c r="B330" s="65"/>
      <c r="C330" s="65"/>
      <c r="D330" s="66"/>
      <c r="E330" s="112" t="s">
        <v>352</v>
      </c>
      <c r="F330" s="113" t="str">
        <f>'0403010'!B37</f>
        <v>tratamento cirurgico de fistula liquorica craniana</v>
      </c>
      <c r="G330" s="114">
        <f>'0403010'!C37</f>
        <v>671.94</v>
      </c>
      <c r="H330" s="68" t="str">
        <f>'por medico'!A19</f>
        <v>PEDRO HENRIQUE V.  PONDÉ DE SENA</v>
      </c>
      <c r="I330" s="71"/>
      <c r="J330" s="7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65"/>
      <c r="B331" s="65"/>
      <c r="C331" s="65"/>
      <c r="D331" s="66"/>
      <c r="E331" s="112" t="s">
        <v>440</v>
      </c>
      <c r="F331" s="113" t="str">
        <f>'0403010'!B31</f>
        <v>tratamento cirurgico de abcesso intracraniano</v>
      </c>
      <c r="G331" s="114">
        <f>'0403010'!C31</f>
        <v>559.95</v>
      </c>
      <c r="H331" s="77"/>
      <c r="I331" s="71"/>
      <c r="J331" s="7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65"/>
      <c r="B332" s="65"/>
      <c r="C332" s="65"/>
      <c r="D332" s="66"/>
      <c r="E332" s="51" t="s">
        <v>398</v>
      </c>
      <c r="F332" s="96" t="str">
        <f>'0403010'!B21</f>
        <v>derivação ventricular externa -subgaleal  externa</v>
      </c>
      <c r="G332" s="58">
        <f>'0403010'!C21</f>
        <v>286</v>
      </c>
      <c r="H332" s="77"/>
      <c r="I332" s="71"/>
      <c r="J332" s="7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65"/>
      <c r="B333" s="83"/>
      <c r="C333" s="65"/>
      <c r="D333" s="66"/>
      <c r="E333" s="51" t="s">
        <v>287</v>
      </c>
      <c r="F333" s="55"/>
      <c r="G333" s="58"/>
      <c r="H333" s="85"/>
      <c r="I333" s="86"/>
      <c r="J333" s="8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02"/>
      <c r="B334" s="89"/>
      <c r="C334" s="89"/>
      <c r="D334" s="89"/>
      <c r="E334" s="90" t="s">
        <v>287</v>
      </c>
      <c r="F334" s="28" t="s">
        <v>292</v>
      </c>
      <c r="G334" s="91">
        <f>SUM(G329:G333)</f>
        <v>2189.83</v>
      </c>
      <c r="H334" s="92"/>
      <c r="I334" s="89"/>
      <c r="J334" s="9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04">
        <v>55.0</v>
      </c>
      <c r="B335" s="165" t="s">
        <v>669</v>
      </c>
      <c r="C335" s="109">
        <v>46224.0</v>
      </c>
      <c r="D335" s="104">
        <v>2.0554051E7</v>
      </c>
      <c r="E335" s="51" t="s">
        <v>352</v>
      </c>
      <c r="F335" s="96" t="str">
        <f>'0403010'!B37</f>
        <v>tratamento cirurgico de fistula liquorica craniana</v>
      </c>
      <c r="G335" s="58">
        <f>'0403010'!C37</f>
        <v>671.94</v>
      </c>
      <c r="H335" s="116" t="str">
        <f>'por medico'!A19</f>
        <v>PEDRO HENRIQUE V.  PONDÉ DE SENA</v>
      </c>
      <c r="I335" s="61"/>
      <c r="J335" s="61" t="s">
        <v>175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65"/>
      <c r="B336" s="65"/>
      <c r="C336" s="65"/>
      <c r="D336" s="66"/>
      <c r="E336" s="51" t="s">
        <v>343</v>
      </c>
      <c r="F336" s="55" t="str">
        <f>'0403010'!B44</f>
        <v>Tratamento cirurgico de hematoma subdural cronico</v>
      </c>
      <c r="G336" s="58">
        <f>'0403010'!C44</f>
        <v>682.08</v>
      </c>
      <c r="H336" s="68" t="str">
        <f>'por medico'!A14</f>
        <v>CAMILA MOURA DE SOUSA</v>
      </c>
      <c r="I336" s="71"/>
      <c r="J336" s="7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65"/>
      <c r="B337" s="65"/>
      <c r="C337" s="65"/>
      <c r="D337" s="66"/>
      <c r="E337" s="51" t="s">
        <v>398</v>
      </c>
      <c r="F337" s="96" t="str">
        <f>'0403010'!B21</f>
        <v>derivação ventricular externa -subgaleal  externa</v>
      </c>
      <c r="G337" s="58">
        <f>'0403010'!C21</f>
        <v>286</v>
      </c>
      <c r="H337" s="77"/>
      <c r="I337" s="71"/>
      <c r="J337" s="7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65"/>
      <c r="B338" s="65"/>
      <c r="C338" s="65"/>
      <c r="D338" s="66"/>
      <c r="E338" s="51" t="s">
        <v>344</v>
      </c>
      <c r="F338" s="96" t="str">
        <f>'0403010'!B14</f>
        <v>Craniotomia descompressiva</v>
      </c>
      <c r="G338" s="58">
        <f>'0403010'!C14</f>
        <v>391.86</v>
      </c>
      <c r="H338" s="77"/>
      <c r="I338" s="71"/>
      <c r="J338" s="7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65"/>
      <c r="B339" s="83"/>
      <c r="C339" s="65"/>
      <c r="D339" s="66"/>
      <c r="E339" s="51" t="s">
        <v>626</v>
      </c>
      <c r="F339" s="96" t="str">
        <f>'0403010'!B47</f>
        <v>trepanação craniana para propedeutica neurocirurgica/implante para monitoração pic</v>
      </c>
      <c r="G339" s="58">
        <f>'0403010'!C47</f>
        <v>107.52</v>
      </c>
      <c r="H339" s="85"/>
      <c r="I339" s="86"/>
      <c r="J339" s="8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02"/>
      <c r="B340" s="89"/>
      <c r="C340" s="89"/>
      <c r="D340" s="89"/>
      <c r="E340" s="90" t="s">
        <v>287</v>
      </c>
      <c r="F340" s="28" t="s">
        <v>292</v>
      </c>
      <c r="G340" s="91">
        <f>SUM(G335:G339)</f>
        <v>2139.4</v>
      </c>
      <c r="H340" s="92"/>
      <c r="I340" s="89"/>
      <c r="J340" s="9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04">
        <v>56.0</v>
      </c>
      <c r="B341" s="109" t="s">
        <v>671</v>
      </c>
      <c r="C341" s="109">
        <v>46225.0</v>
      </c>
      <c r="D341" s="104">
        <v>1.6047193E7</v>
      </c>
      <c r="E341" s="112" t="s">
        <v>648</v>
      </c>
      <c r="F341" s="117" t="str">
        <f>'0403020'!B19</f>
        <v>neurolise não funcional de nervos  perifericos</v>
      </c>
      <c r="G341" s="114">
        <f>'0403020'!C19</f>
        <v>180.75</v>
      </c>
      <c r="H341" s="59" t="str">
        <f>'por medico'!A23</f>
        <v>ARTUR BASTOS ROCHA</v>
      </c>
      <c r="I341" s="61"/>
      <c r="J341" s="61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65"/>
      <c r="B342" s="65"/>
      <c r="C342" s="65"/>
      <c r="D342" s="66"/>
      <c r="E342" s="112" t="s">
        <v>287</v>
      </c>
      <c r="F342" s="117"/>
      <c r="G342" s="114"/>
      <c r="H342" s="68" t="str">
        <f>'por medico'!A17</f>
        <v>EDUARDO VARJÃO VIEIRA </v>
      </c>
      <c r="I342" s="71"/>
      <c r="J342" s="71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65"/>
      <c r="B343" s="65"/>
      <c r="C343" s="65"/>
      <c r="D343" s="66"/>
      <c r="E343" s="112" t="s">
        <v>287</v>
      </c>
      <c r="F343" s="117"/>
      <c r="G343" s="114"/>
      <c r="H343" s="77"/>
      <c r="I343" s="71"/>
      <c r="J343" s="71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65"/>
      <c r="B344" s="65"/>
      <c r="C344" s="65"/>
      <c r="D344" s="66"/>
      <c r="E344" s="112" t="s">
        <v>287</v>
      </c>
      <c r="F344" s="117"/>
      <c r="G344" s="114"/>
      <c r="H344" s="77"/>
      <c r="I344" s="71"/>
      <c r="J344" s="71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65"/>
      <c r="B345" s="83"/>
      <c r="C345" s="65"/>
      <c r="D345" s="66"/>
      <c r="E345" s="112" t="s">
        <v>287</v>
      </c>
      <c r="F345" s="117"/>
      <c r="G345" s="114"/>
      <c r="H345" s="85"/>
      <c r="I345" s="86"/>
      <c r="J345" s="86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2"/>
      <c r="B346" s="89"/>
      <c r="C346" s="89"/>
      <c r="D346" s="89"/>
      <c r="E346" s="90" t="s">
        <v>287</v>
      </c>
      <c r="F346" s="28" t="s">
        <v>292</v>
      </c>
      <c r="G346" s="91">
        <f>SUM(G341:G345)</f>
        <v>180.75</v>
      </c>
      <c r="H346" s="92"/>
      <c r="I346" s="89"/>
      <c r="J346" s="9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04">
        <v>57.0</v>
      </c>
      <c r="B347" s="193" t="s">
        <v>674</v>
      </c>
      <c r="C347" s="109">
        <v>46230.0</v>
      </c>
      <c r="D347" s="104">
        <v>2.0744884E7</v>
      </c>
      <c r="E347" s="112" t="s">
        <v>640</v>
      </c>
      <c r="F347" s="113" t="str">
        <f>'0403030'!B26</f>
        <v>Microcirurgia para tumor intracraniano (com tecnica complementar)</v>
      </c>
      <c r="G347" s="114">
        <f>'0403030'!C26</f>
        <v>2054.08</v>
      </c>
      <c r="H347" s="59" t="str">
        <f>'por medico'!A14</f>
        <v>CAMILA MOURA DE SOUSA</v>
      </c>
      <c r="I347" s="61"/>
      <c r="J347" s="61" t="s">
        <v>175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65"/>
      <c r="B348" s="65"/>
      <c r="C348" s="65"/>
      <c r="D348" s="66"/>
      <c r="E348" s="112" t="s">
        <v>352</v>
      </c>
      <c r="F348" s="113" t="str">
        <f>'0403010'!B37</f>
        <v>tratamento cirurgico de fistula liquorica craniana</v>
      </c>
      <c r="G348" s="114">
        <f>'0403010'!C37</f>
        <v>671.94</v>
      </c>
      <c r="H348" s="68" t="str">
        <f>'por medico'!A21</f>
        <v>WAGNER DE AZEVEDO  HERCULANO</v>
      </c>
      <c r="I348" s="71"/>
      <c r="J348" s="7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65"/>
      <c r="B349" s="65"/>
      <c r="C349" s="65"/>
      <c r="D349" s="66"/>
      <c r="E349" s="112" t="s">
        <v>456</v>
      </c>
      <c r="F349" s="113" t="str">
        <f>'0403030'!B16</f>
        <v>Craniotomia para retirada de tumor intracraniano</v>
      </c>
      <c r="G349" s="114">
        <f>'0403030'!C16</f>
        <v>554.4</v>
      </c>
      <c r="H349" s="77"/>
      <c r="I349" s="71"/>
      <c r="J349" s="7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65"/>
      <c r="B350" s="65"/>
      <c r="C350" s="65"/>
      <c r="D350" s="66"/>
      <c r="E350" s="51" t="s">
        <v>287</v>
      </c>
      <c r="F350" s="55"/>
      <c r="G350" s="58"/>
      <c r="H350" s="77"/>
      <c r="I350" s="71"/>
      <c r="J350" s="7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65"/>
      <c r="B351" s="83"/>
      <c r="C351" s="65"/>
      <c r="D351" s="66"/>
      <c r="E351" s="51" t="s">
        <v>287</v>
      </c>
      <c r="F351" s="55"/>
      <c r="G351" s="58"/>
      <c r="H351" s="85"/>
      <c r="I351" s="86"/>
      <c r="J351" s="8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02"/>
      <c r="B352" s="89"/>
      <c r="C352" s="89"/>
      <c r="D352" s="89"/>
      <c r="E352" s="90" t="s">
        <v>287</v>
      </c>
      <c r="F352" s="28" t="s">
        <v>292</v>
      </c>
      <c r="G352" s="91">
        <f>SUM(G347:G351)</f>
        <v>3280.42</v>
      </c>
      <c r="H352" s="92"/>
      <c r="I352" s="89"/>
      <c r="J352" s="9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04">
        <v>58.0</v>
      </c>
      <c r="B353" s="44" t="s">
        <v>679</v>
      </c>
      <c r="C353" s="47">
        <v>46223.0</v>
      </c>
      <c r="D353" s="40">
        <v>2.056354E7</v>
      </c>
      <c r="E353" s="112" t="s">
        <v>680</v>
      </c>
      <c r="F353" s="117" t="str">
        <f>'0403040'!B14</f>
        <v>descomprenssão neurovascular de nervos cranianos</v>
      </c>
      <c r="G353" s="114">
        <f>'0403040'!C14</f>
        <v>1399.44</v>
      </c>
      <c r="H353" s="59" t="str">
        <f>'por medico'!A17</f>
        <v>EDUARDO VARJÃO VIEIRA </v>
      </c>
      <c r="I353" s="61"/>
      <c r="J353" s="61" t="s">
        <v>175</v>
      </c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65"/>
      <c r="B354" s="65"/>
      <c r="C354" s="65"/>
      <c r="D354" s="66"/>
      <c r="E354" s="112" t="s">
        <v>352</v>
      </c>
      <c r="F354" s="113" t="str">
        <f>'0403010'!B37</f>
        <v>tratamento cirurgico de fistula liquorica craniana</v>
      </c>
      <c r="G354" s="114">
        <f>'0403010'!C37</f>
        <v>671.94</v>
      </c>
      <c r="H354" s="68" t="str">
        <f>'por medico'!A21</f>
        <v>WAGNER DE AZEVEDO  HERCULANO</v>
      </c>
      <c r="I354" s="71"/>
      <c r="J354" s="71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65"/>
      <c r="B355" s="65"/>
      <c r="C355" s="65"/>
      <c r="D355" s="66"/>
      <c r="E355" s="112" t="s">
        <v>344</v>
      </c>
      <c r="F355" s="113" t="str">
        <f>'0403010'!B14</f>
        <v>Craniotomia descompressiva</v>
      </c>
      <c r="G355" s="114">
        <f>'0403010'!C14</f>
        <v>391.86</v>
      </c>
      <c r="H355" s="77"/>
      <c r="I355" s="71"/>
      <c r="J355" s="71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65"/>
      <c r="B356" s="65"/>
      <c r="C356" s="65"/>
      <c r="D356" s="66"/>
      <c r="E356" s="51" t="s">
        <v>287</v>
      </c>
      <c r="F356" s="55"/>
      <c r="G356" s="58"/>
      <c r="H356" s="77"/>
      <c r="I356" s="71"/>
      <c r="J356" s="7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65"/>
      <c r="B357" s="83"/>
      <c r="C357" s="65"/>
      <c r="D357" s="66"/>
      <c r="E357" s="51" t="s">
        <v>287</v>
      </c>
      <c r="F357" s="55"/>
      <c r="G357" s="58"/>
      <c r="H357" s="85"/>
      <c r="I357" s="86"/>
      <c r="J357" s="8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02"/>
      <c r="B358" s="89"/>
      <c r="C358" s="89"/>
      <c r="D358" s="89"/>
      <c r="E358" s="90" t="s">
        <v>287</v>
      </c>
      <c r="F358" s="28" t="s">
        <v>292</v>
      </c>
      <c r="G358" s="91">
        <f>SUM(G353:G357)</f>
        <v>2463.24</v>
      </c>
      <c r="H358" s="92"/>
      <c r="I358" s="89"/>
      <c r="J358" s="9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04">
        <v>59.0</v>
      </c>
      <c r="B359" s="47" t="s">
        <v>682</v>
      </c>
      <c r="C359" s="109">
        <v>46219.0</v>
      </c>
      <c r="D359" s="104">
        <v>1.7922378E7</v>
      </c>
      <c r="E359" s="112" t="s">
        <v>683</v>
      </c>
      <c r="F359" s="117" t="str">
        <f>'0403030'!B27</f>
        <v>ressecção de tumor raquimedular e extradural</v>
      </c>
      <c r="G359" s="114">
        <f>'0403030'!C27</f>
        <v>672</v>
      </c>
      <c r="H359" s="116" t="str">
        <f>'por medico'!A15</f>
        <v>JAQUISSON  DE DEUS GUIMARÃES FILHO</v>
      </c>
      <c r="I359" s="61"/>
      <c r="J359" s="61" t="s">
        <v>175</v>
      </c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65"/>
      <c r="B360" s="65"/>
      <c r="C360" s="65"/>
      <c r="D360" s="66"/>
      <c r="E360" s="112" t="s">
        <v>287</v>
      </c>
      <c r="F360" s="117"/>
      <c r="G360" s="114"/>
      <c r="H360" s="68" t="str">
        <f>'por medico'!A17</f>
        <v>EDUARDO VARJÃO VIEIRA </v>
      </c>
      <c r="I360" s="71"/>
      <c r="J360" s="71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65"/>
      <c r="B361" s="65"/>
      <c r="C361" s="65"/>
      <c r="D361" s="66"/>
      <c r="E361" s="112" t="s">
        <v>287</v>
      </c>
      <c r="F361" s="117"/>
      <c r="G361" s="114"/>
      <c r="H361" s="77"/>
      <c r="I361" s="71"/>
      <c r="J361" s="71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65"/>
      <c r="B362" s="65"/>
      <c r="C362" s="65"/>
      <c r="D362" s="66"/>
      <c r="E362" s="112" t="s">
        <v>287</v>
      </c>
      <c r="F362" s="117"/>
      <c r="G362" s="114"/>
      <c r="H362" s="77"/>
      <c r="I362" s="71"/>
      <c r="J362" s="71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65"/>
      <c r="B363" s="83"/>
      <c r="C363" s="65"/>
      <c r="D363" s="66"/>
      <c r="E363" s="51" t="s">
        <v>287</v>
      </c>
      <c r="F363" s="55"/>
      <c r="G363" s="58"/>
      <c r="H363" s="85"/>
      <c r="I363" s="86"/>
      <c r="J363" s="8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02"/>
      <c r="B364" s="89"/>
      <c r="C364" s="89"/>
      <c r="D364" s="89"/>
      <c r="E364" s="90" t="s">
        <v>287</v>
      </c>
      <c r="F364" s="28" t="s">
        <v>292</v>
      </c>
      <c r="G364" s="91">
        <f>SUM(G359:G363)</f>
        <v>672</v>
      </c>
      <c r="H364" s="92"/>
      <c r="I364" s="89"/>
      <c r="J364" s="9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04">
        <v>60.0</v>
      </c>
      <c r="B365" s="47" t="s">
        <v>684</v>
      </c>
      <c r="C365" s="109">
        <v>46229.0</v>
      </c>
      <c r="D365" s="104">
        <v>2.0687075E7</v>
      </c>
      <c r="E365" s="51" t="s">
        <v>343</v>
      </c>
      <c r="F365" s="55" t="str">
        <f>'0403010'!B44</f>
        <v>Tratamento cirurgico de hematoma subdural cronico</v>
      </c>
      <c r="G365" s="58">
        <f>'0403010'!C44</f>
        <v>682.08</v>
      </c>
      <c r="H365" s="59" t="str">
        <f>'por medico'!A14</f>
        <v>CAMILA MOURA DE SOUSA</v>
      </c>
      <c r="I365" s="61"/>
      <c r="J365" s="61" t="s">
        <v>175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65"/>
      <c r="B366" s="65"/>
      <c r="C366" s="65"/>
      <c r="D366" s="66"/>
      <c r="E366" s="51" t="s">
        <v>580</v>
      </c>
      <c r="F366" s="96" t="str">
        <f>'0403010'!B13</f>
        <v>Cranioplastia </v>
      </c>
      <c r="G366" s="58">
        <f>'0403010'!C13</f>
        <v>522.48</v>
      </c>
      <c r="H366" s="121" t="str">
        <f>'por medico'!A21</f>
        <v>WAGNER DE AZEVEDO  HERCULANO</v>
      </c>
      <c r="I366" s="71"/>
      <c r="J366" s="7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65"/>
      <c r="B367" s="65"/>
      <c r="C367" s="65"/>
      <c r="D367" s="66"/>
      <c r="E367" s="51" t="s">
        <v>398</v>
      </c>
      <c r="F367" s="96" t="str">
        <f>'0403010'!B21</f>
        <v>derivação ventricular externa -subgaleal  externa</v>
      </c>
      <c r="G367" s="58">
        <f>'0403010'!C21</f>
        <v>286</v>
      </c>
      <c r="H367" s="77"/>
      <c r="I367" s="71"/>
      <c r="J367" s="7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65"/>
      <c r="B368" s="65"/>
      <c r="C368" s="65"/>
      <c r="D368" s="66"/>
      <c r="E368" s="51" t="s">
        <v>344</v>
      </c>
      <c r="F368" s="96" t="str">
        <f>'0403010'!B14</f>
        <v>Craniotomia descompressiva</v>
      </c>
      <c r="G368" s="58">
        <f>'0403010'!C14</f>
        <v>391.86</v>
      </c>
      <c r="H368" s="77"/>
      <c r="I368" s="71"/>
      <c r="J368" s="7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65"/>
      <c r="B369" s="83"/>
      <c r="C369" s="65"/>
      <c r="D369" s="66"/>
      <c r="E369" s="51" t="s">
        <v>339</v>
      </c>
      <c r="F369" s="96" t="str">
        <f>'0403010'!B49</f>
        <v>trepanação craniana para punção ou biopsia   </v>
      </c>
      <c r="G369" s="58">
        <f>'0403010'!C49</f>
        <v>107.52</v>
      </c>
      <c r="H369" s="85"/>
      <c r="I369" s="86"/>
      <c r="J369" s="8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02"/>
      <c r="B370" s="89"/>
      <c r="C370" s="89"/>
      <c r="D370" s="89"/>
      <c r="E370" s="90" t="s">
        <v>287</v>
      </c>
      <c r="F370" s="28" t="s">
        <v>292</v>
      </c>
      <c r="G370" s="91">
        <f>SUM(G365:G369)</f>
        <v>1989.94</v>
      </c>
      <c r="H370" s="92"/>
      <c r="I370" s="89"/>
      <c r="J370" s="9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04">
        <v>61.0</v>
      </c>
      <c r="B371" s="161" t="s">
        <v>688</v>
      </c>
      <c r="C371" s="109">
        <v>46224.0</v>
      </c>
      <c r="D371" s="104">
        <v>5599170.0</v>
      </c>
      <c r="E371" s="112" t="s">
        <v>640</v>
      </c>
      <c r="F371" s="113" t="str">
        <f>'0403030'!B26</f>
        <v>Microcirurgia para tumor intracraniano (com tecnica complementar)</v>
      </c>
      <c r="G371" s="114">
        <f>'0403030'!C26</f>
        <v>2054.08</v>
      </c>
      <c r="H371" s="59" t="str">
        <f>'por medico'!A14</f>
        <v>CAMILA MOURA DE SOUSA</v>
      </c>
      <c r="I371" s="61"/>
      <c r="J371" s="61" t="s">
        <v>175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65"/>
      <c r="B372" s="65"/>
      <c r="C372" s="65"/>
      <c r="D372" s="66"/>
      <c r="E372" s="112" t="s">
        <v>352</v>
      </c>
      <c r="F372" s="113" t="str">
        <f>'0403010'!B37</f>
        <v>tratamento cirurgico de fistula liquorica craniana</v>
      </c>
      <c r="G372" s="114">
        <f>'0403010'!C37</f>
        <v>671.94</v>
      </c>
      <c r="H372" s="68" t="str">
        <f>'por medico'!A19</f>
        <v>PEDRO HENRIQUE V.  PONDÉ DE SENA</v>
      </c>
      <c r="I372" s="71"/>
      <c r="J372" s="7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65"/>
      <c r="B373" s="65"/>
      <c r="C373" s="65"/>
      <c r="D373" s="66"/>
      <c r="E373" s="112" t="s">
        <v>455</v>
      </c>
      <c r="F373" s="113" t="str">
        <f>'0403010'!B26</f>
        <v>reconstução craniama /cranio-facial</v>
      </c>
      <c r="G373" s="114">
        <f>'0403010'!C26</f>
        <v>671.94</v>
      </c>
      <c r="H373" s="77"/>
      <c r="I373" s="71"/>
      <c r="J373" s="7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65"/>
      <c r="B374" s="65"/>
      <c r="C374" s="65"/>
      <c r="D374" s="66"/>
      <c r="E374" s="51" t="s">
        <v>456</v>
      </c>
      <c r="F374" s="96" t="str">
        <f>'0403030'!B16</f>
        <v>Craniotomia para retirada de tumor intracraniano</v>
      </c>
      <c r="G374" s="58">
        <f>'0403030'!C16</f>
        <v>554.4</v>
      </c>
      <c r="H374" s="77"/>
      <c r="I374" s="71"/>
      <c r="J374" s="7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65"/>
      <c r="B375" s="83"/>
      <c r="C375" s="65"/>
      <c r="D375" s="66"/>
      <c r="E375" s="51" t="s">
        <v>287</v>
      </c>
      <c r="F375" s="55"/>
      <c r="G375" s="58"/>
      <c r="H375" s="85"/>
      <c r="I375" s="86"/>
      <c r="J375" s="8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02"/>
      <c r="B376" s="89"/>
      <c r="C376" s="89"/>
      <c r="D376" s="89"/>
      <c r="E376" s="90" t="s">
        <v>287</v>
      </c>
      <c r="F376" s="28" t="s">
        <v>292</v>
      </c>
      <c r="G376" s="91">
        <f>SUM(G371:G375)</f>
        <v>3952.36</v>
      </c>
      <c r="H376" s="92"/>
      <c r="I376" s="89"/>
      <c r="J376" s="9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04">
        <v>62.0</v>
      </c>
      <c r="B377" s="44" t="s">
        <v>692</v>
      </c>
      <c r="C377" s="109">
        <v>46229.0</v>
      </c>
      <c r="D377" s="104">
        <v>2.0632477E7</v>
      </c>
      <c r="E377" s="51" t="s">
        <v>693</v>
      </c>
      <c r="F377" s="55" t="str">
        <f>'0408030'!B41</f>
        <v>artrodese toraco-lombo-sacra posterior 5  niveis</v>
      </c>
      <c r="G377" s="58">
        <f>'0408030'!C41</f>
        <v>1155.78</v>
      </c>
      <c r="H377" s="59" t="str">
        <f>'por medico'!A23</f>
        <v>ARTUR BASTOS ROCHA</v>
      </c>
      <c r="I377" s="61"/>
      <c r="J377" s="61" t="s">
        <v>175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65"/>
      <c r="B378" s="65"/>
      <c r="C378" s="65"/>
      <c r="D378" s="66"/>
      <c r="E378" s="51" t="s">
        <v>683</v>
      </c>
      <c r="F378" s="55" t="str">
        <f>'0403030'!B27</f>
        <v>ressecção de tumor raquimedular e extradural</v>
      </c>
      <c r="G378" s="58">
        <f>'0403030'!C27</f>
        <v>672</v>
      </c>
      <c r="H378" s="68" t="str">
        <f>'por medico'!A21</f>
        <v>WAGNER DE AZEVEDO  HERCULANO</v>
      </c>
      <c r="I378" s="71"/>
      <c r="J378" s="7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65"/>
      <c r="B379" s="65"/>
      <c r="C379" s="65"/>
      <c r="D379" s="66"/>
      <c r="E379" s="51" t="s">
        <v>325</v>
      </c>
      <c r="F379" s="96" t="str">
        <f>'0403010'!B38</f>
        <v>tratamento cirurgico de fistula liquorica raquidiana</v>
      </c>
      <c r="G379" s="58">
        <f>'0403010'!C38</f>
        <v>671.94</v>
      </c>
      <c r="H379" s="77"/>
      <c r="I379" s="71"/>
      <c r="J379" s="7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65"/>
      <c r="B380" s="65"/>
      <c r="C380" s="65"/>
      <c r="D380" s="66"/>
      <c r="E380" s="51" t="s">
        <v>247</v>
      </c>
      <c r="F380" s="55" t="str">
        <f>'0403020'!B23</f>
        <v>tratamento cirurgico  de neuropatia compressiva com ou sem microcirurgia</v>
      </c>
      <c r="G380" s="58">
        <f>'0403020'!C23</f>
        <v>560</v>
      </c>
      <c r="H380" s="77"/>
      <c r="I380" s="71"/>
      <c r="J380" s="7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65"/>
      <c r="B381" s="83"/>
      <c r="C381" s="65"/>
      <c r="D381" s="66"/>
      <c r="E381" s="51" t="s">
        <v>336</v>
      </c>
      <c r="F381" s="55" t="str">
        <f>'0408030'!B65</f>
        <v>ressecção de elemento vertebral posterior /postero-lateral /distal a C2 (mais de 2 segmentos)</v>
      </c>
      <c r="G381" s="58">
        <f>'0408030'!C65</f>
        <v>345.6</v>
      </c>
      <c r="H381" s="85"/>
      <c r="I381" s="86"/>
      <c r="J381" s="8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02"/>
      <c r="B382" s="89"/>
      <c r="C382" s="89"/>
      <c r="D382" s="89"/>
      <c r="E382" s="90" t="s">
        <v>287</v>
      </c>
      <c r="F382" s="28" t="s">
        <v>292</v>
      </c>
      <c r="G382" s="91">
        <f>SUM(G377:G381)</f>
        <v>3405.32</v>
      </c>
      <c r="H382" s="92"/>
      <c r="I382" s="89"/>
      <c r="J382" s="9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04">
        <v>63.0</v>
      </c>
      <c r="B383" s="44" t="s">
        <v>694</v>
      </c>
      <c r="C383" s="109">
        <v>46220.0</v>
      </c>
      <c r="D383" s="104">
        <v>3999877.0</v>
      </c>
      <c r="E383" s="112" t="s">
        <v>352</v>
      </c>
      <c r="F383" s="113" t="str">
        <f>'0403010'!B37</f>
        <v>tratamento cirurgico de fistula liquorica craniana</v>
      </c>
      <c r="G383" s="114">
        <f>'0403010'!C37</f>
        <v>671.94</v>
      </c>
      <c r="H383" s="59" t="str">
        <f>'por medico'!A21</f>
        <v>WAGNER DE AZEVEDO  HERCULANO</v>
      </c>
      <c r="I383" s="61"/>
      <c r="J383" s="61" t="s">
        <v>175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65"/>
      <c r="B384" s="65"/>
      <c r="C384" s="65"/>
      <c r="D384" s="66"/>
      <c r="E384" s="112" t="s">
        <v>343</v>
      </c>
      <c r="F384" s="117" t="str">
        <f>'0403010'!B44</f>
        <v>Tratamento cirurgico de hematoma subdural cronico</v>
      </c>
      <c r="G384" s="114">
        <f>'0403010'!C44</f>
        <v>682.08</v>
      </c>
      <c r="H384" s="68" t="str">
        <f>'por medico'!A19</f>
        <v>PEDRO HENRIQUE V.  PONDÉ DE SENA</v>
      </c>
      <c r="I384" s="71"/>
      <c r="J384" s="7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65"/>
      <c r="B385" s="65"/>
      <c r="C385" s="65"/>
      <c r="D385" s="66"/>
      <c r="E385" s="112" t="s">
        <v>344</v>
      </c>
      <c r="F385" s="113" t="str">
        <f>'0403010'!B14</f>
        <v>Craniotomia descompressiva</v>
      </c>
      <c r="G385" s="114">
        <f>'0403010'!C14</f>
        <v>391.86</v>
      </c>
      <c r="H385" s="77"/>
      <c r="I385" s="71"/>
      <c r="J385" s="7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65"/>
      <c r="B386" s="65"/>
      <c r="C386" s="65"/>
      <c r="D386" s="66"/>
      <c r="E386" s="51" t="s">
        <v>287</v>
      </c>
      <c r="F386" s="55"/>
      <c r="G386" s="58"/>
      <c r="H386" s="77"/>
      <c r="I386" s="71"/>
      <c r="J386" s="7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65"/>
      <c r="B387" s="83"/>
      <c r="C387" s="65"/>
      <c r="D387" s="66"/>
      <c r="E387" s="51" t="s">
        <v>287</v>
      </c>
      <c r="F387" s="55"/>
      <c r="G387" s="58"/>
      <c r="H387" s="85"/>
      <c r="I387" s="86"/>
      <c r="J387" s="8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02"/>
      <c r="B388" s="89"/>
      <c r="C388" s="89"/>
      <c r="D388" s="89"/>
      <c r="E388" s="90" t="s">
        <v>287</v>
      </c>
      <c r="F388" s="28" t="s">
        <v>292</v>
      </c>
      <c r="G388" s="91">
        <f>SUM(G383:G387)</f>
        <v>1745.88</v>
      </c>
      <c r="H388" s="92"/>
      <c r="I388" s="89"/>
      <c r="J388" s="9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04">
        <v>64.0</v>
      </c>
      <c r="B389" s="47" t="s">
        <v>697</v>
      </c>
      <c r="C389" s="109">
        <v>46217.0</v>
      </c>
      <c r="D389" s="104">
        <v>2.0389938E7</v>
      </c>
      <c r="E389" s="112" t="s">
        <v>403</v>
      </c>
      <c r="F389" s="117" t="str">
        <f>'0403030'!B20</f>
        <v>microcirurgia de tumor medular    técnica complementar</v>
      </c>
      <c r="G389" s="114">
        <f>'0403030'!C20</f>
        <v>1540.56</v>
      </c>
      <c r="H389" s="59" t="str">
        <f>'por medico'!A23</f>
        <v>ARTUR BASTOS ROCHA</v>
      </c>
      <c r="I389" s="61"/>
      <c r="J389" s="104" t="s">
        <v>175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65"/>
      <c r="B390" s="65"/>
      <c r="C390" s="65"/>
      <c r="D390" s="66"/>
      <c r="E390" s="112" t="s">
        <v>655</v>
      </c>
      <c r="F390" s="113" t="str">
        <f>'0403010'!B25</f>
        <v>microcirurgia da siringomielia</v>
      </c>
      <c r="G390" s="114">
        <f>'0403010'!C25</f>
        <v>896.19</v>
      </c>
      <c r="H390" s="68" t="str">
        <f>'por medico'!A14</f>
        <v>CAMILA MOURA DE SOUSA</v>
      </c>
      <c r="I390" s="71"/>
      <c r="J390" s="6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65"/>
      <c r="B391" s="65"/>
      <c r="C391" s="65"/>
      <c r="D391" s="66"/>
      <c r="E391" s="51" t="s">
        <v>325</v>
      </c>
      <c r="F391" s="96" t="str">
        <f>'0403010'!B38</f>
        <v>tratamento cirurgico de fistula liquorica raquidiana</v>
      </c>
      <c r="G391" s="58">
        <f>'0403010'!C38</f>
        <v>671.94</v>
      </c>
      <c r="H391" s="77"/>
      <c r="I391" s="71"/>
      <c r="J391" s="6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65"/>
      <c r="B392" s="65"/>
      <c r="C392" s="65"/>
      <c r="D392" s="66"/>
      <c r="E392" s="51" t="s">
        <v>336</v>
      </c>
      <c r="F392" s="55" t="str">
        <f>'0408030'!B65</f>
        <v>ressecção de elemento vertebral posterior /postero-lateral /distal a C2 (mais de 2 segmentos)</v>
      </c>
      <c r="G392" s="58">
        <f>'0408030'!C65</f>
        <v>345.6</v>
      </c>
      <c r="H392" s="77"/>
      <c r="I392" s="71"/>
      <c r="J392" s="6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65"/>
      <c r="B393" s="83"/>
      <c r="C393" s="65"/>
      <c r="D393" s="66"/>
      <c r="E393" s="51" t="s">
        <v>287</v>
      </c>
      <c r="F393" s="55"/>
      <c r="G393" s="58"/>
      <c r="H393" s="85"/>
      <c r="I393" s="86"/>
      <c r="J393" s="1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03"/>
      <c r="B394" s="103"/>
      <c r="C394" s="103"/>
      <c r="D394" s="103"/>
      <c r="E394" s="120" t="s">
        <v>287</v>
      </c>
      <c r="F394" s="28" t="s">
        <v>292</v>
      </c>
      <c r="G394" s="91">
        <f>SUM(G389:G393)</f>
        <v>3454.29</v>
      </c>
      <c r="H394" s="92"/>
      <c r="I394" s="89"/>
      <c r="J394" s="10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04">
        <v>65.0</v>
      </c>
      <c r="B395" s="44" t="s">
        <v>700</v>
      </c>
      <c r="C395" s="109">
        <v>46232.0</v>
      </c>
      <c r="D395" s="104">
        <v>2.0731022E7</v>
      </c>
      <c r="E395" s="112" t="s">
        <v>701</v>
      </c>
      <c r="F395" s="117" t="str">
        <f>'0408030'!B55</f>
        <v>disectomia cervical anterior  (até 2 niveis com microscopio) </v>
      </c>
      <c r="G395" s="114">
        <f>'0408030'!C55</f>
        <v>470</v>
      </c>
      <c r="H395" s="59" t="str">
        <f>'por medico'!A23</f>
        <v>ARTUR BASTOS ROCHA</v>
      </c>
      <c r="I395" s="61"/>
      <c r="J395" s="61" t="s">
        <v>175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65"/>
      <c r="B396" s="65"/>
      <c r="C396" s="65"/>
      <c r="D396" s="66"/>
      <c r="E396" s="112" t="s">
        <v>702</v>
      </c>
      <c r="F396" s="117" t="str">
        <f>'0408030'!B19</f>
        <v>artrodese cervical anterior 2 niveis </v>
      </c>
      <c r="G396" s="114">
        <f>'0408030'!C19</f>
        <v>470</v>
      </c>
      <c r="H396" s="68" t="str">
        <f>'por medico'!A21</f>
        <v>WAGNER DE AZEVEDO  HERCULANO</v>
      </c>
      <c r="I396" s="71"/>
      <c r="J396" s="7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65"/>
      <c r="B397" s="65"/>
      <c r="C397" s="65"/>
      <c r="D397" s="66"/>
      <c r="E397" s="112" t="s">
        <v>247</v>
      </c>
      <c r="F397" s="117" t="str">
        <f>'0403020'!B23</f>
        <v>tratamento cirurgico  de neuropatia compressiva com ou sem microcirurgia</v>
      </c>
      <c r="G397" s="114">
        <f>'0403020'!C23</f>
        <v>560</v>
      </c>
      <c r="H397" s="77"/>
      <c r="I397" s="71"/>
      <c r="J397" s="7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65"/>
      <c r="B398" s="65"/>
      <c r="C398" s="65"/>
      <c r="D398" s="66"/>
      <c r="E398" s="51" t="s">
        <v>287</v>
      </c>
      <c r="F398" s="55"/>
      <c r="G398" s="58"/>
      <c r="H398" s="77"/>
      <c r="I398" s="71"/>
      <c r="J398" s="7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65"/>
      <c r="B399" s="83"/>
      <c r="C399" s="65"/>
      <c r="D399" s="66"/>
      <c r="E399" s="51" t="s">
        <v>287</v>
      </c>
      <c r="F399" s="55"/>
      <c r="G399" s="58"/>
      <c r="H399" s="85"/>
      <c r="I399" s="86"/>
      <c r="J399" s="8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02"/>
      <c r="B400" s="89"/>
      <c r="C400" s="89"/>
      <c r="D400" s="89"/>
      <c r="E400" s="90" t="s">
        <v>287</v>
      </c>
      <c r="F400" s="28" t="s">
        <v>292</v>
      </c>
      <c r="G400" s="91">
        <f>SUM(G395:G399)</f>
        <v>1500</v>
      </c>
      <c r="H400" s="92"/>
      <c r="I400" s="89"/>
      <c r="J400" s="9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04">
        <v>66.0</v>
      </c>
      <c r="B401" s="47" t="s">
        <v>705</v>
      </c>
      <c r="C401" s="47">
        <v>46219.0</v>
      </c>
      <c r="D401" s="40">
        <v>2.0417739E7</v>
      </c>
      <c r="E401" s="51" t="s">
        <v>640</v>
      </c>
      <c r="F401" s="96" t="str">
        <f>'0403030'!B26</f>
        <v>Microcirurgia para tumor intracraniano (com tecnica complementar)</v>
      </c>
      <c r="G401" s="58">
        <f>'0403030'!C26</f>
        <v>2054.08</v>
      </c>
      <c r="H401" s="59" t="str">
        <f>'por medico'!A17</f>
        <v>EDUARDO VARJÃO VIEIRA </v>
      </c>
      <c r="I401" s="61"/>
      <c r="J401" s="61" t="s">
        <v>175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65"/>
      <c r="B402" s="65"/>
      <c r="C402" s="65"/>
      <c r="D402" s="66"/>
      <c r="E402" s="112" t="s">
        <v>712</v>
      </c>
      <c r="F402" s="113" t="str">
        <f>'0403030'!B14</f>
        <v>Craniotomia para biopsia encefálica com técnica complementar</v>
      </c>
      <c r="G402" s="114">
        <f>'0403030'!C14</f>
        <v>957.6</v>
      </c>
      <c r="H402" s="121" t="str">
        <f>'por medico'!A15</f>
        <v>JAQUISSON  DE DEUS GUIMARÃES FILHO</v>
      </c>
      <c r="I402" s="71"/>
      <c r="J402" s="7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65"/>
      <c r="B403" s="65"/>
      <c r="C403" s="65"/>
      <c r="D403" s="66"/>
      <c r="E403" s="112" t="s">
        <v>352</v>
      </c>
      <c r="F403" s="113" t="str">
        <f>'0403010'!B37</f>
        <v>tratamento cirurgico de fistula liquorica craniana</v>
      </c>
      <c r="G403" s="114">
        <f>'0403010'!C37</f>
        <v>671.94</v>
      </c>
      <c r="H403" s="77"/>
      <c r="I403" s="71"/>
      <c r="J403" s="7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65"/>
      <c r="B404" s="65"/>
      <c r="C404" s="65"/>
      <c r="D404" s="66"/>
      <c r="E404" s="51" t="s">
        <v>455</v>
      </c>
      <c r="F404" s="96" t="str">
        <f>'0403010'!B26</f>
        <v>reconstução craniama /cranio-facial</v>
      </c>
      <c r="G404" s="58">
        <f>'0403010'!C26</f>
        <v>671.94</v>
      </c>
      <c r="H404" s="77"/>
      <c r="I404" s="71"/>
      <c r="J404" s="7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65"/>
      <c r="B405" s="83"/>
      <c r="C405" s="65"/>
      <c r="D405" s="66"/>
      <c r="E405" s="51" t="s">
        <v>287</v>
      </c>
      <c r="F405" s="55"/>
      <c r="G405" s="58"/>
      <c r="H405" s="85"/>
      <c r="I405" s="86"/>
      <c r="J405" s="8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02"/>
      <c r="B406" s="89"/>
      <c r="C406" s="89"/>
      <c r="D406" s="89"/>
      <c r="E406" s="90" t="s">
        <v>287</v>
      </c>
      <c r="F406" s="28" t="s">
        <v>292</v>
      </c>
      <c r="G406" s="91">
        <f>SUM(G401:G405)</f>
        <v>4355.56</v>
      </c>
      <c r="H406" s="92"/>
      <c r="I406" s="89"/>
      <c r="J406" s="9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04">
        <v>67.0</v>
      </c>
      <c r="B407" s="47" t="s">
        <v>713</v>
      </c>
      <c r="C407" s="47">
        <v>46222.0</v>
      </c>
      <c r="D407" s="40">
        <v>1.0106599E7</v>
      </c>
      <c r="E407" s="51" t="s">
        <v>455</v>
      </c>
      <c r="F407" s="96" t="str">
        <f>'0403010'!B26</f>
        <v>reconstução craniama /cranio-facial</v>
      </c>
      <c r="G407" s="58">
        <f>'0403010'!C26</f>
        <v>671.94</v>
      </c>
      <c r="H407" s="116" t="str">
        <f>'por medico'!A17</f>
        <v>EDUARDO VARJÃO VIEIRA </v>
      </c>
      <c r="I407" s="61"/>
      <c r="J407" s="61" t="s">
        <v>175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65"/>
      <c r="B408" s="65"/>
      <c r="C408" s="65"/>
      <c r="D408" s="66"/>
      <c r="E408" s="51" t="s">
        <v>287</v>
      </c>
      <c r="F408" s="55"/>
      <c r="G408" s="58"/>
      <c r="H408" s="68" t="str">
        <f>'por medico'!A23</f>
        <v>ARTUR BASTOS ROCHA</v>
      </c>
      <c r="I408" s="71"/>
      <c r="J408" s="7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65"/>
      <c r="B409" s="65"/>
      <c r="C409" s="65"/>
      <c r="D409" s="66"/>
      <c r="E409" s="51" t="s">
        <v>287</v>
      </c>
      <c r="F409" s="55"/>
      <c r="G409" s="58"/>
      <c r="H409" s="77"/>
      <c r="I409" s="71"/>
      <c r="J409" s="7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65"/>
      <c r="B410" s="65"/>
      <c r="C410" s="65"/>
      <c r="D410" s="66"/>
      <c r="E410" s="51" t="s">
        <v>287</v>
      </c>
      <c r="F410" s="55"/>
      <c r="G410" s="58"/>
      <c r="H410" s="77"/>
      <c r="I410" s="71"/>
      <c r="J410" s="7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65"/>
      <c r="B411" s="83"/>
      <c r="C411" s="65"/>
      <c r="D411" s="66"/>
      <c r="E411" s="51" t="s">
        <v>287</v>
      </c>
      <c r="F411" s="55"/>
      <c r="G411" s="58"/>
      <c r="H411" s="85"/>
      <c r="I411" s="86"/>
      <c r="J411" s="8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02"/>
      <c r="B412" s="89"/>
      <c r="C412" s="89"/>
      <c r="D412" s="89"/>
      <c r="E412" s="90" t="s">
        <v>287</v>
      </c>
      <c r="F412" s="28" t="s">
        <v>292</v>
      </c>
      <c r="G412" s="91">
        <f>SUM(G407:G411)</f>
        <v>671.94</v>
      </c>
      <c r="H412" s="92"/>
      <c r="I412" s="89"/>
      <c r="J412" s="9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04">
        <v>68.0</v>
      </c>
      <c r="B413" s="47" t="s">
        <v>714</v>
      </c>
      <c r="C413" s="47">
        <v>46232.0</v>
      </c>
      <c r="D413" s="40">
        <v>9525684.0</v>
      </c>
      <c r="E413" s="112" t="s">
        <v>657</v>
      </c>
      <c r="F413" s="117" t="str">
        <f>'0408030'!B49</f>
        <v>descompressão ossea na junção cranio cervical vias posterior</v>
      </c>
      <c r="G413" s="114">
        <f>'0408030'!C49</f>
        <v>470</v>
      </c>
      <c r="H413" s="116" t="str">
        <f>'por medico'!A23</f>
        <v>ARTUR BASTOS ROCHA</v>
      </c>
      <c r="I413" s="61"/>
      <c r="J413" s="61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65"/>
      <c r="B414" s="65"/>
      <c r="C414" s="65"/>
      <c r="D414" s="66"/>
      <c r="E414" s="112" t="s">
        <v>624</v>
      </c>
      <c r="F414" s="117" t="str">
        <f>'0408030'!B74</f>
        <v>revisão de artrodese / tratamento cirurgico  de pseudoartrose da coluna  cervical posterior</v>
      </c>
      <c r="G414" s="114">
        <f>'0408030'!C74</f>
        <v>770.99</v>
      </c>
      <c r="H414" s="68" t="str">
        <f>'por medico'!A21</f>
        <v>WAGNER DE AZEVEDO  HERCULANO</v>
      </c>
      <c r="I414" s="71"/>
      <c r="J414" s="71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65"/>
      <c r="B415" s="65"/>
      <c r="C415" s="65"/>
      <c r="D415" s="66"/>
      <c r="E415" s="51" t="s">
        <v>254</v>
      </c>
      <c r="F415" s="55" t="str">
        <f>'0408030'!B66</f>
        <v>ressecção de elemento vertebral posterior /postero-lateral /distal a C2 ( até 2 segmentos)</v>
      </c>
      <c r="G415" s="58">
        <f>'0408030'!C66</f>
        <v>288</v>
      </c>
      <c r="H415" s="77"/>
      <c r="I415" s="71"/>
      <c r="J415" s="71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65"/>
      <c r="B416" s="65"/>
      <c r="C416" s="65"/>
      <c r="D416" s="66"/>
      <c r="E416" s="51" t="s">
        <v>287</v>
      </c>
      <c r="F416" s="55"/>
      <c r="G416" s="58"/>
      <c r="H416" s="77"/>
      <c r="I416" s="71"/>
      <c r="J416" s="7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65"/>
      <c r="B417" s="83"/>
      <c r="C417" s="65"/>
      <c r="D417" s="66"/>
      <c r="E417" s="51" t="s">
        <v>287</v>
      </c>
      <c r="F417" s="55"/>
      <c r="G417" s="58"/>
      <c r="H417" s="85"/>
      <c r="I417" s="86"/>
      <c r="J417" s="8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02"/>
      <c r="B418" s="89"/>
      <c r="C418" s="89"/>
      <c r="D418" s="89"/>
      <c r="E418" s="90" t="s">
        <v>287</v>
      </c>
      <c r="F418" s="28" t="s">
        <v>292</v>
      </c>
      <c r="G418" s="91">
        <f>SUM(G413:G417)</f>
        <v>1528.99</v>
      </c>
      <c r="H418" s="92"/>
      <c r="I418" s="89"/>
      <c r="J418" s="9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04">
        <v>69.0</v>
      </c>
      <c r="B419" s="47" t="s">
        <v>715</v>
      </c>
      <c r="C419" s="47">
        <v>46232.0</v>
      </c>
      <c r="D419" s="40">
        <v>2.0754685E7</v>
      </c>
      <c r="E419" s="112" t="s">
        <v>468</v>
      </c>
      <c r="F419" s="117" t="str">
        <f>'0403040'!B21</f>
        <v>microcirurgia  para aneurisma da circulaço cerebral anterior menor  que 1,5 cm</v>
      </c>
      <c r="G419" s="114">
        <f>'0403040'!C21</f>
        <v>1568</v>
      </c>
      <c r="H419" s="116" t="str">
        <f>'por medico'!A15</f>
        <v>JAQUISSON  DE DEUS GUIMARÃES FILHO</v>
      </c>
      <c r="I419" s="61"/>
      <c r="J419" s="61" t="s">
        <v>175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65"/>
      <c r="B420" s="65"/>
      <c r="C420" s="65"/>
      <c r="D420" s="66"/>
      <c r="E420" s="112" t="s">
        <v>352</v>
      </c>
      <c r="F420" s="113" t="str">
        <f>'0403010'!B37</f>
        <v>tratamento cirurgico de fistula liquorica craniana</v>
      </c>
      <c r="G420" s="114">
        <f>'0403010'!C37</f>
        <v>671.94</v>
      </c>
      <c r="H420" s="68" t="str">
        <f>'por medico'!A17</f>
        <v>EDUARDO VARJÃO VIEIRA </v>
      </c>
      <c r="I420" s="71"/>
      <c r="J420" s="7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65"/>
      <c r="B421" s="65"/>
      <c r="C421" s="65"/>
      <c r="D421" s="66"/>
      <c r="E421" s="112" t="s">
        <v>455</v>
      </c>
      <c r="F421" s="113" t="str">
        <f>'0403010'!B26</f>
        <v>reconstução craniama /cranio-facial</v>
      </c>
      <c r="G421" s="114">
        <f>'0403010'!C26</f>
        <v>671.94</v>
      </c>
      <c r="H421" s="77"/>
      <c r="I421" s="71"/>
      <c r="J421" s="7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65"/>
      <c r="B422" s="65"/>
      <c r="C422" s="65"/>
      <c r="D422" s="66"/>
      <c r="E422" s="51" t="s">
        <v>287</v>
      </c>
      <c r="F422" s="55"/>
      <c r="G422" s="58"/>
      <c r="H422" s="77"/>
      <c r="I422" s="71"/>
      <c r="J422" s="7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65"/>
      <c r="B423" s="83"/>
      <c r="C423" s="65"/>
      <c r="D423" s="66"/>
      <c r="E423" s="51" t="s">
        <v>287</v>
      </c>
      <c r="F423" s="55"/>
      <c r="G423" s="58"/>
      <c r="H423" s="85"/>
      <c r="I423" s="86"/>
      <c r="J423" s="8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02"/>
      <c r="B424" s="89"/>
      <c r="C424" s="89"/>
      <c r="D424" s="89"/>
      <c r="E424" s="90" t="s">
        <v>287</v>
      </c>
      <c r="F424" s="28" t="s">
        <v>292</v>
      </c>
      <c r="G424" s="91">
        <f>SUM(G419:G423)</f>
        <v>2911.88</v>
      </c>
      <c r="H424" s="92"/>
      <c r="I424" s="89"/>
      <c r="J424" s="9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04">
        <v>70.0</v>
      </c>
      <c r="B425" s="165" t="s">
        <v>716</v>
      </c>
      <c r="C425" s="109">
        <v>46232.0</v>
      </c>
      <c r="D425" s="104">
        <v>1.3679378E7</v>
      </c>
      <c r="E425" s="51" t="s">
        <v>640</v>
      </c>
      <c r="F425" s="96" t="str">
        <f>'0403030'!B26</f>
        <v>Microcirurgia para tumor intracraniano (com tecnica complementar)</v>
      </c>
      <c r="G425" s="58">
        <f>'0403030'!C26</f>
        <v>2054.08</v>
      </c>
      <c r="H425" s="116" t="str">
        <f>'por medico'!A21</f>
        <v>WAGNER DE AZEVEDO  HERCULANO</v>
      </c>
      <c r="I425" s="61"/>
      <c r="J425" s="61" t="s">
        <v>175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65"/>
      <c r="B426" s="65"/>
      <c r="C426" s="65"/>
      <c r="D426" s="66"/>
      <c r="E426" s="51" t="s">
        <v>352</v>
      </c>
      <c r="F426" s="96" t="str">
        <f>'0403010'!B37</f>
        <v>tratamento cirurgico de fistula liquorica craniana</v>
      </c>
      <c r="G426" s="58">
        <f>'0403010'!C37</f>
        <v>671.94</v>
      </c>
      <c r="H426" s="121" t="str">
        <f>'por medico'!A15</f>
        <v>JAQUISSON  DE DEUS GUIMARÃES FILHO</v>
      </c>
      <c r="I426" s="71"/>
      <c r="J426" s="7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65"/>
      <c r="B427" s="65"/>
      <c r="C427" s="65"/>
      <c r="D427" s="66"/>
      <c r="E427" s="51" t="s">
        <v>456</v>
      </c>
      <c r="F427" s="96" t="str">
        <f>'0403030'!B16</f>
        <v>Craniotomia para retirada de tumor intracraniano</v>
      </c>
      <c r="G427" s="58">
        <f>'0403030'!C16</f>
        <v>554.4</v>
      </c>
      <c r="H427" s="77"/>
      <c r="I427" s="71"/>
      <c r="J427" s="7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65"/>
      <c r="B428" s="65"/>
      <c r="C428" s="65"/>
      <c r="D428" s="66"/>
      <c r="E428" s="51" t="s">
        <v>455</v>
      </c>
      <c r="F428" s="96" t="str">
        <f>'0403010'!B26</f>
        <v>reconstução craniama /cranio-facial</v>
      </c>
      <c r="G428" s="58">
        <f>'0403010'!C26</f>
        <v>671.94</v>
      </c>
      <c r="H428" s="77"/>
      <c r="I428" s="71"/>
      <c r="J428" s="7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65"/>
      <c r="B429" s="83"/>
      <c r="C429" s="65"/>
      <c r="D429" s="66"/>
      <c r="E429" s="51" t="s">
        <v>287</v>
      </c>
      <c r="F429" s="55"/>
      <c r="G429" s="58"/>
      <c r="H429" s="85"/>
      <c r="I429" s="86"/>
      <c r="J429" s="8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02"/>
      <c r="B430" s="89"/>
      <c r="C430" s="89"/>
      <c r="D430" s="89"/>
      <c r="E430" s="90" t="s">
        <v>287</v>
      </c>
      <c r="F430" s="28" t="s">
        <v>292</v>
      </c>
      <c r="G430" s="91">
        <f>SUM(G425:G429)</f>
        <v>3952.36</v>
      </c>
      <c r="H430" s="92"/>
      <c r="I430" s="89"/>
      <c r="J430" s="9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04">
        <v>71.0</v>
      </c>
      <c r="B431" s="109" t="s">
        <v>726</v>
      </c>
      <c r="C431" s="109">
        <v>46210.0</v>
      </c>
      <c r="D431" s="104">
        <v>2.028827E7</v>
      </c>
      <c r="E431" s="112" t="s">
        <v>640</v>
      </c>
      <c r="F431" s="113" t="str">
        <f>'0403030'!B26</f>
        <v>Microcirurgia para tumor intracraniano (com tecnica complementar)</v>
      </c>
      <c r="G431" s="114">
        <f>'0403030'!C26</f>
        <v>2054.08</v>
      </c>
      <c r="H431" s="59" t="str">
        <f>'por medico'!A16</f>
        <v>LUIZ AUGUSTO MEDRADO SOEIRO</v>
      </c>
      <c r="I431" s="61"/>
      <c r="J431" s="61" t="s">
        <v>175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65"/>
      <c r="B432" s="65"/>
      <c r="C432" s="65"/>
      <c r="D432" s="66"/>
      <c r="E432" s="112" t="s">
        <v>729</v>
      </c>
      <c r="F432" s="117" t="str">
        <f>'0403030'!B15</f>
        <v>Craniotomia para retirada de tumor cerebral inclusivo da fossa posterior</v>
      </c>
      <c r="G432" s="114">
        <f>'0403030'!C15</f>
        <v>1072.5</v>
      </c>
      <c r="H432" s="68" t="str">
        <f>'por medico'!A19</f>
        <v>PEDRO HENRIQUE V.  PONDÉ DE SENA</v>
      </c>
      <c r="I432" s="71"/>
      <c r="J432" s="7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65"/>
      <c r="B433" s="65"/>
      <c r="C433" s="65"/>
      <c r="D433" s="66"/>
      <c r="E433" s="112" t="s">
        <v>455</v>
      </c>
      <c r="F433" s="113" t="str">
        <f>'0403010'!B26</f>
        <v>reconstução craniama /cranio-facial</v>
      </c>
      <c r="G433" s="114">
        <f>'0403010'!C26</f>
        <v>671.94</v>
      </c>
      <c r="H433" s="77"/>
      <c r="I433" s="71"/>
      <c r="J433" s="7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65"/>
      <c r="B434" s="65"/>
      <c r="C434" s="65"/>
      <c r="D434" s="66"/>
      <c r="E434" s="51" t="s">
        <v>398</v>
      </c>
      <c r="F434" s="96" t="str">
        <f>'0403010'!B21</f>
        <v>derivação ventricular externa -subgaleal  externa</v>
      </c>
      <c r="G434" s="58">
        <f>'0403010'!C21</f>
        <v>286</v>
      </c>
      <c r="H434" s="77"/>
      <c r="I434" s="71"/>
      <c r="J434" s="7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65"/>
      <c r="B435" s="83"/>
      <c r="C435" s="65"/>
      <c r="D435" s="66"/>
      <c r="E435" s="51" t="s">
        <v>287</v>
      </c>
      <c r="F435" s="55"/>
      <c r="G435" s="58"/>
      <c r="H435" s="85"/>
      <c r="I435" s="86"/>
      <c r="J435" s="8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02"/>
      <c r="B436" s="89"/>
      <c r="C436" s="89"/>
      <c r="D436" s="89"/>
      <c r="E436" s="90" t="s">
        <v>287</v>
      </c>
      <c r="F436" s="28" t="s">
        <v>292</v>
      </c>
      <c r="G436" s="91">
        <f>SUM(G431:G435)</f>
        <v>4084.52</v>
      </c>
      <c r="H436" s="92"/>
      <c r="I436" s="89"/>
      <c r="J436" s="9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04">
        <v>72.0</v>
      </c>
      <c r="B437" s="109" t="s">
        <v>733</v>
      </c>
      <c r="C437" s="109">
        <v>46213.0</v>
      </c>
      <c r="D437" s="104">
        <v>2.0316758E7</v>
      </c>
      <c r="E437" s="112" t="s">
        <v>693</v>
      </c>
      <c r="F437" s="117" t="str">
        <f>'0408030'!B41</f>
        <v>artrodese toraco-lombo-sacra posterior 5  niveis</v>
      </c>
      <c r="G437" s="114">
        <f>'0408030'!C41</f>
        <v>1155.78</v>
      </c>
      <c r="H437" s="59" t="str">
        <f>'por medico'!A23</f>
        <v>ARTUR BASTOS ROCHA</v>
      </c>
      <c r="I437" s="61"/>
      <c r="J437" s="61" t="s">
        <v>175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65"/>
      <c r="B438" s="65"/>
      <c r="C438" s="65"/>
      <c r="D438" s="66"/>
      <c r="E438" s="112" t="s">
        <v>734</v>
      </c>
      <c r="F438" s="117" t="str">
        <f>'0403030'!B19</f>
        <v>microcirurgia de tumor  intradural e extramedular</v>
      </c>
      <c r="G438" s="114">
        <f>'0403030'!C19</f>
        <v>907.2</v>
      </c>
      <c r="H438" s="68" t="str">
        <f>'por medico'!A21</f>
        <v>WAGNER DE AZEVEDO  HERCULANO</v>
      </c>
      <c r="I438" s="71"/>
      <c r="J438" s="7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65"/>
      <c r="B439" s="65"/>
      <c r="C439" s="65"/>
      <c r="D439" s="66"/>
      <c r="E439" s="112" t="s">
        <v>247</v>
      </c>
      <c r="F439" s="117" t="str">
        <f>'0403020'!B23</f>
        <v>tratamento cirurgico  de neuropatia compressiva com ou sem microcirurgia</v>
      </c>
      <c r="G439" s="114">
        <f>'0403020'!C23</f>
        <v>560</v>
      </c>
      <c r="H439" s="77"/>
      <c r="I439" s="71"/>
      <c r="J439" s="7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65"/>
      <c r="B440" s="65"/>
      <c r="C440" s="65"/>
      <c r="D440" s="66"/>
      <c r="E440" s="51" t="s">
        <v>336</v>
      </c>
      <c r="F440" s="55" t="str">
        <f>'0408030'!B65</f>
        <v>ressecção de elemento vertebral posterior /postero-lateral /distal a C2 (mais de 2 segmentos)</v>
      </c>
      <c r="G440" s="58">
        <f>'0408030'!C65</f>
        <v>345.6</v>
      </c>
      <c r="H440" s="77"/>
      <c r="I440" s="71"/>
      <c r="J440" s="7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65"/>
      <c r="B441" s="83"/>
      <c r="C441" s="65"/>
      <c r="D441" s="66"/>
      <c r="E441" s="51" t="s">
        <v>287</v>
      </c>
      <c r="F441" s="55"/>
      <c r="G441" s="58"/>
      <c r="H441" s="85"/>
      <c r="I441" s="86"/>
      <c r="J441" s="8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02"/>
      <c r="B442" s="89"/>
      <c r="C442" s="89"/>
      <c r="D442" s="89"/>
      <c r="E442" s="90" t="s">
        <v>287</v>
      </c>
      <c r="F442" s="28" t="s">
        <v>292</v>
      </c>
      <c r="G442" s="91">
        <f>SUM(G437:G441)</f>
        <v>2968.58</v>
      </c>
      <c r="H442" s="92"/>
      <c r="I442" s="89"/>
      <c r="J442" s="9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04">
        <v>73.0</v>
      </c>
      <c r="B443" s="109" t="s">
        <v>735</v>
      </c>
      <c r="C443" s="109">
        <v>46215.0</v>
      </c>
      <c r="D443" s="104">
        <v>2.0437646E7</v>
      </c>
      <c r="E443" s="51" t="s">
        <v>352</v>
      </c>
      <c r="F443" s="96" t="str">
        <f>'0403010'!B37</f>
        <v>tratamento cirurgico de fistula liquorica craniana</v>
      </c>
      <c r="G443" s="58">
        <f>'0403010'!C37</f>
        <v>671.94</v>
      </c>
      <c r="H443" s="59" t="str">
        <f>'por medico'!A14</f>
        <v>CAMILA MOURA DE SOUSA</v>
      </c>
      <c r="I443" s="61"/>
      <c r="J443" s="61" t="s">
        <v>175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65"/>
      <c r="B444" s="65"/>
      <c r="C444" s="65"/>
      <c r="D444" s="66"/>
      <c r="E444" s="51" t="s">
        <v>455</v>
      </c>
      <c r="F444" s="96" t="str">
        <f>'0403010'!B26</f>
        <v>reconstução craniama /cranio-facial</v>
      </c>
      <c r="G444" s="58">
        <f>'0403010'!C26</f>
        <v>671.94</v>
      </c>
      <c r="H444" s="68" t="str">
        <f>'por medico'!A23</f>
        <v>ARTUR BASTOS ROCHA</v>
      </c>
      <c r="I444" s="71"/>
      <c r="J444" s="7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65"/>
      <c r="B445" s="65"/>
      <c r="C445" s="65"/>
      <c r="D445" s="66"/>
      <c r="E445" s="112" t="s">
        <v>633</v>
      </c>
      <c r="F445" s="117" t="str">
        <f>'0403010'!B43</f>
        <v>Tratamento cirurgico de hematoma subdural agudo</v>
      </c>
      <c r="G445" s="114">
        <f>'0403010'!C43</f>
        <v>682.08</v>
      </c>
      <c r="H445" s="77"/>
      <c r="I445" s="71"/>
      <c r="J445" s="7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65"/>
      <c r="B446" s="65"/>
      <c r="C446" s="65"/>
      <c r="D446" s="66"/>
      <c r="E446" s="51" t="s">
        <v>344</v>
      </c>
      <c r="F446" s="96" t="str">
        <f>'0403010'!B14</f>
        <v>Craniotomia descompressiva</v>
      </c>
      <c r="G446" s="58">
        <f>'0403010'!C14</f>
        <v>391.86</v>
      </c>
      <c r="H446" s="77"/>
      <c r="I446" s="71"/>
      <c r="J446" s="7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65"/>
      <c r="B447" s="83"/>
      <c r="C447" s="65"/>
      <c r="D447" s="66"/>
      <c r="E447" s="51" t="s">
        <v>287</v>
      </c>
      <c r="F447" s="55"/>
      <c r="G447" s="58"/>
      <c r="H447" s="85"/>
      <c r="I447" s="86"/>
      <c r="J447" s="8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02"/>
      <c r="B448" s="89"/>
      <c r="C448" s="89"/>
      <c r="D448" s="89"/>
      <c r="E448" s="90" t="s">
        <v>287</v>
      </c>
      <c r="F448" s="28" t="s">
        <v>292</v>
      </c>
      <c r="G448" s="91">
        <f>SUM(G443:G447)</f>
        <v>2417.82</v>
      </c>
      <c r="H448" s="92"/>
      <c r="I448" s="89"/>
      <c r="J448" s="9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04">
        <v>74.0</v>
      </c>
      <c r="B449" s="109" t="s">
        <v>736</v>
      </c>
      <c r="C449" s="109">
        <v>46234.0</v>
      </c>
      <c r="D449" s="104">
        <v>1.0466159E7</v>
      </c>
      <c r="E449" s="51" t="s">
        <v>737</v>
      </c>
      <c r="F449" s="96" t="str">
        <f>'0403010'!B50</f>
        <v>drenagem liquorica lombar externa</v>
      </c>
      <c r="G449" s="58">
        <f>'0403010'!C50</f>
        <v>858</v>
      </c>
      <c r="H449" s="59" t="str">
        <f>'por medico'!A21</f>
        <v>WAGNER DE AZEVEDO  HERCULANO</v>
      </c>
      <c r="I449" s="61"/>
      <c r="J449" s="6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65"/>
      <c r="B450" s="65"/>
      <c r="C450" s="65"/>
      <c r="D450" s="66"/>
      <c r="E450" s="51" t="s">
        <v>287</v>
      </c>
      <c r="F450" s="55"/>
      <c r="G450" s="58"/>
      <c r="H450" s="68" t="str">
        <f>'por medico'!A16</f>
        <v>LUIZ AUGUSTO MEDRADO SOEIRO</v>
      </c>
      <c r="I450" s="71"/>
      <c r="J450" s="7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65"/>
      <c r="B451" s="65"/>
      <c r="C451" s="65"/>
      <c r="D451" s="66"/>
      <c r="E451" s="112" t="s">
        <v>287</v>
      </c>
      <c r="F451" s="117"/>
      <c r="G451" s="114"/>
      <c r="H451" s="77"/>
      <c r="I451" s="71"/>
      <c r="J451" s="7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65"/>
      <c r="B452" s="65"/>
      <c r="C452" s="65"/>
      <c r="D452" s="66"/>
      <c r="E452" s="51" t="s">
        <v>287</v>
      </c>
      <c r="F452" s="55"/>
      <c r="G452" s="58"/>
      <c r="H452" s="77"/>
      <c r="I452" s="71"/>
      <c r="J452" s="7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65"/>
      <c r="B453" s="83"/>
      <c r="C453" s="65"/>
      <c r="D453" s="66"/>
      <c r="E453" s="51" t="s">
        <v>287</v>
      </c>
      <c r="F453" s="55"/>
      <c r="G453" s="58"/>
      <c r="H453" s="85"/>
      <c r="I453" s="86"/>
      <c r="J453" s="8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02"/>
      <c r="B454" s="89"/>
      <c r="C454" s="89"/>
      <c r="D454" s="89"/>
      <c r="E454" s="90" t="s">
        <v>287</v>
      </c>
      <c r="F454" s="28" t="s">
        <v>292</v>
      </c>
      <c r="G454" s="91">
        <f>SUM(G449:G453)</f>
        <v>858</v>
      </c>
      <c r="H454" s="92"/>
      <c r="I454" s="89"/>
      <c r="J454" s="9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04">
        <v>75.0</v>
      </c>
      <c r="B455" s="109" t="s">
        <v>739</v>
      </c>
      <c r="C455" s="109">
        <v>46211.0</v>
      </c>
      <c r="D455" s="104">
        <v>2.0378766E7</v>
      </c>
      <c r="E455" s="51" t="s">
        <v>594</v>
      </c>
      <c r="F455" s="96" t="str">
        <f>'0403010'!B23</f>
        <v>descompressão de orbita por doença  ou trauma</v>
      </c>
      <c r="G455" s="58">
        <f>'0403010'!C23</f>
        <v>786.5</v>
      </c>
      <c r="H455" s="159" t="str">
        <f>'por medico'!A14</f>
        <v>CAMILA MOURA DE SOUSA</v>
      </c>
      <c r="I455" s="61"/>
      <c r="J455" s="61" t="s">
        <v>175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65"/>
      <c r="B456" s="65"/>
      <c r="C456" s="65"/>
      <c r="D456" s="66"/>
      <c r="E456" s="112" t="s">
        <v>352</v>
      </c>
      <c r="F456" s="113" t="str">
        <f>'0403010'!B37</f>
        <v>tratamento cirurgico de fistula liquorica craniana</v>
      </c>
      <c r="G456" s="114">
        <f>'0403010'!C37</f>
        <v>671.94</v>
      </c>
      <c r="H456" s="121" t="str">
        <f>'por medico'!A15</f>
        <v>JAQUISSON  DE DEUS GUIMARÃES FILHO</v>
      </c>
      <c r="I456" s="71"/>
      <c r="J456" s="7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65"/>
      <c r="B457" s="65"/>
      <c r="C457" s="65"/>
      <c r="D457" s="66"/>
      <c r="E457" s="112" t="s">
        <v>352</v>
      </c>
      <c r="F457" s="113" t="str">
        <f>'0403010'!B37</f>
        <v>tratamento cirurgico de fistula liquorica craniana</v>
      </c>
      <c r="G457" s="114">
        <f>'0403010'!C37</f>
        <v>671.94</v>
      </c>
      <c r="H457" s="77"/>
      <c r="I457" s="71"/>
      <c r="J457" s="7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65"/>
      <c r="B458" s="65"/>
      <c r="C458" s="65"/>
      <c r="D458" s="66"/>
      <c r="E458" s="51" t="s">
        <v>344</v>
      </c>
      <c r="F458" s="96" t="str">
        <f>'0403010'!B14</f>
        <v>Craniotomia descompressiva</v>
      </c>
      <c r="G458" s="58">
        <f>'0403010'!C14</f>
        <v>391.86</v>
      </c>
      <c r="H458" s="77"/>
      <c r="I458" s="71"/>
      <c r="J458" s="7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65"/>
      <c r="B459" s="83"/>
      <c r="C459" s="65"/>
      <c r="D459" s="66"/>
      <c r="E459" s="51" t="s">
        <v>287</v>
      </c>
      <c r="F459" s="55"/>
      <c r="G459" s="58"/>
      <c r="H459" s="85"/>
      <c r="I459" s="86"/>
      <c r="J459" s="8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03"/>
      <c r="B460" s="103"/>
      <c r="C460" s="103"/>
      <c r="D460" s="103"/>
      <c r="E460" s="120" t="s">
        <v>287</v>
      </c>
      <c r="F460" s="28" t="s">
        <v>292</v>
      </c>
      <c r="G460" s="91">
        <f>SUM(G455:G459)</f>
        <v>2522.24</v>
      </c>
      <c r="H460" s="92"/>
      <c r="I460" s="89"/>
      <c r="J460" s="10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04">
        <v>76.0</v>
      </c>
      <c r="B461" s="163" t="s">
        <v>743</v>
      </c>
      <c r="C461" s="109">
        <v>46221.0</v>
      </c>
      <c r="D461" s="104">
        <v>2.0555033E7</v>
      </c>
      <c r="E461" s="51" t="s">
        <v>455</v>
      </c>
      <c r="F461" s="96" t="str">
        <f>'0403010'!B26</f>
        <v>reconstução craniama /cranio-facial</v>
      </c>
      <c r="G461" s="58">
        <f>'0403010'!C26</f>
        <v>671.94</v>
      </c>
      <c r="H461" s="159" t="str">
        <f>'por medico'!A21</f>
        <v>WAGNER DE AZEVEDO  HERCULANO</v>
      </c>
      <c r="I461" s="63"/>
      <c r="J461" s="61" t="s">
        <v>175</v>
      </c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65"/>
      <c r="B462" s="225"/>
      <c r="C462" s="65"/>
      <c r="D462" s="66"/>
      <c r="E462" s="51" t="s">
        <v>606</v>
      </c>
      <c r="F462" s="96" t="str">
        <f>'0403010'!B39</f>
        <v>tratamento cirurgico de fratura do craniano com afundamento</v>
      </c>
      <c r="G462" s="58">
        <f>'0403010'!C39</f>
        <v>391.86</v>
      </c>
      <c r="H462" s="68" t="str">
        <f>'por medico'!A23</f>
        <v>ARTUR BASTOS ROCHA</v>
      </c>
      <c r="I462" s="80"/>
      <c r="J462" s="71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65"/>
      <c r="B463" s="65"/>
      <c r="C463" s="65"/>
      <c r="D463" s="66"/>
      <c r="E463" s="51" t="s">
        <v>344</v>
      </c>
      <c r="F463" s="96" t="str">
        <f>'0403010'!B14</f>
        <v>Craniotomia descompressiva</v>
      </c>
      <c r="G463" s="58">
        <f>'0403010'!C14</f>
        <v>391.86</v>
      </c>
      <c r="H463" s="77"/>
      <c r="I463" s="71"/>
      <c r="J463" s="71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65"/>
      <c r="B464" s="65"/>
      <c r="C464" s="65"/>
      <c r="D464" s="66"/>
      <c r="E464" s="51" t="s">
        <v>287</v>
      </c>
      <c r="F464" s="55"/>
      <c r="G464" s="58"/>
      <c r="H464" s="77"/>
      <c r="I464" s="71"/>
      <c r="J464" s="71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65"/>
      <c r="B465" s="83"/>
      <c r="C465" s="65"/>
      <c r="D465" s="66"/>
      <c r="E465" s="51" t="s">
        <v>287</v>
      </c>
      <c r="F465" s="55"/>
      <c r="G465" s="58"/>
      <c r="H465" s="85"/>
      <c r="I465" s="86"/>
      <c r="J465" s="86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2"/>
      <c r="B466" s="89"/>
      <c r="C466" s="89"/>
      <c r="D466" s="89"/>
      <c r="E466" s="90" t="s">
        <v>287</v>
      </c>
      <c r="F466" s="28" t="s">
        <v>292</v>
      </c>
      <c r="G466" s="91">
        <f>SUM(G461:G465)</f>
        <v>1455.66</v>
      </c>
      <c r="H466" s="92"/>
      <c r="I466" s="89"/>
      <c r="J466" s="9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04">
        <v>77.0</v>
      </c>
      <c r="B467" s="109" t="s">
        <v>746</v>
      </c>
      <c r="C467" s="109">
        <v>46233.0</v>
      </c>
      <c r="D467" s="104">
        <v>6004071.0</v>
      </c>
      <c r="E467" s="51" t="s">
        <v>648</v>
      </c>
      <c r="F467" s="55" t="str">
        <f>'0403020'!B19</f>
        <v>neurolise não funcional de nervos  perifericos</v>
      </c>
      <c r="G467" s="58">
        <f>'0403020'!C19</f>
        <v>180.75</v>
      </c>
      <c r="H467" s="116" t="str">
        <f>'por medico'!A21</f>
        <v>WAGNER DE AZEVEDO  HERCULANO</v>
      </c>
      <c r="I467" s="61"/>
      <c r="J467" s="6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65"/>
      <c r="B468" s="65"/>
      <c r="C468" s="65"/>
      <c r="D468" s="66"/>
      <c r="E468" s="51" t="s">
        <v>287</v>
      </c>
      <c r="F468" s="55"/>
      <c r="G468" s="58"/>
      <c r="H468" s="68" t="str">
        <f>'por medico'!A17</f>
        <v>EDUARDO VARJÃO VIEIRA </v>
      </c>
      <c r="I468" s="71"/>
      <c r="J468" s="7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65"/>
      <c r="B469" s="65"/>
      <c r="C469" s="65"/>
      <c r="D469" s="66"/>
      <c r="E469" s="51" t="s">
        <v>287</v>
      </c>
      <c r="F469" s="55"/>
      <c r="G469" s="58"/>
      <c r="H469" s="77"/>
      <c r="I469" s="71"/>
      <c r="J469" s="7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65"/>
      <c r="B470" s="65"/>
      <c r="C470" s="65"/>
      <c r="D470" s="66"/>
      <c r="E470" s="51" t="s">
        <v>287</v>
      </c>
      <c r="F470" s="55"/>
      <c r="G470" s="58"/>
      <c r="H470" s="77"/>
      <c r="I470" s="71"/>
      <c r="J470" s="7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65"/>
      <c r="B471" s="83"/>
      <c r="C471" s="65"/>
      <c r="D471" s="66"/>
      <c r="E471" s="51" t="s">
        <v>287</v>
      </c>
      <c r="F471" s="55"/>
      <c r="G471" s="58"/>
      <c r="H471" s="85"/>
      <c r="I471" s="86"/>
      <c r="J471" s="8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02"/>
      <c r="B472" s="89"/>
      <c r="C472" s="89"/>
      <c r="D472" s="89"/>
      <c r="E472" s="90" t="s">
        <v>287</v>
      </c>
      <c r="F472" s="28" t="s">
        <v>292</v>
      </c>
      <c r="G472" s="91">
        <f>SUM(G467:G471)</f>
        <v>180.75</v>
      </c>
      <c r="H472" s="92"/>
      <c r="I472" s="89"/>
      <c r="J472" s="9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04">
        <v>78.0</v>
      </c>
      <c r="B473" s="165" t="s">
        <v>747</v>
      </c>
      <c r="C473" s="109">
        <v>46204.0</v>
      </c>
      <c r="D473" s="104">
        <v>2.0052775E7</v>
      </c>
      <c r="E473" s="51" t="s">
        <v>468</v>
      </c>
      <c r="F473" s="55" t="str">
        <f>'0403040'!B21</f>
        <v>microcirurgia  para aneurisma da circulaço cerebral anterior menor  que 1,5 cm</v>
      </c>
      <c r="G473" s="58">
        <f>'0403040'!C21</f>
        <v>1568</v>
      </c>
      <c r="H473" s="116" t="str">
        <f>'por medico'!A15</f>
        <v>JAQUISSON  DE DEUS GUIMARÃES FILHO</v>
      </c>
      <c r="I473" s="61"/>
      <c r="J473" s="61" t="s">
        <v>175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65"/>
      <c r="B474" s="65"/>
      <c r="C474" s="65"/>
      <c r="D474" s="66"/>
      <c r="E474" s="51" t="s">
        <v>352</v>
      </c>
      <c r="F474" s="96" t="str">
        <f>'0403010'!B37</f>
        <v>tratamento cirurgico de fistula liquorica craniana</v>
      </c>
      <c r="G474" s="58">
        <f>'0403010'!C37</f>
        <v>671.94</v>
      </c>
      <c r="H474" s="68" t="str">
        <f>'por medico'!A17</f>
        <v>EDUARDO VARJÃO VIEIRA </v>
      </c>
      <c r="I474" s="71"/>
      <c r="J474" s="7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65"/>
      <c r="B475" s="65"/>
      <c r="C475" s="65"/>
      <c r="D475" s="66"/>
      <c r="E475" s="51" t="s">
        <v>455</v>
      </c>
      <c r="F475" s="96" t="str">
        <f>'0403010'!B26</f>
        <v>reconstução craniama /cranio-facial</v>
      </c>
      <c r="G475" s="58">
        <f>'0403010'!C26</f>
        <v>671.94</v>
      </c>
      <c r="H475" s="77"/>
      <c r="I475" s="71"/>
      <c r="J475" s="7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65"/>
      <c r="B476" s="65"/>
      <c r="C476" s="65"/>
      <c r="D476" s="66"/>
      <c r="E476" s="51" t="s">
        <v>287</v>
      </c>
      <c r="F476" s="55"/>
      <c r="G476" s="58"/>
      <c r="H476" s="77"/>
      <c r="I476" s="71"/>
      <c r="J476" s="7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65"/>
      <c r="B477" s="83"/>
      <c r="C477" s="65"/>
      <c r="D477" s="66"/>
      <c r="E477" s="51" t="s">
        <v>287</v>
      </c>
      <c r="F477" s="55"/>
      <c r="G477" s="58"/>
      <c r="H477" s="85"/>
      <c r="I477" s="86"/>
      <c r="J477" s="8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02"/>
      <c r="B478" s="89"/>
      <c r="C478" s="89"/>
      <c r="D478" s="89"/>
      <c r="E478" s="90" t="s">
        <v>287</v>
      </c>
      <c r="F478" s="28" t="s">
        <v>292</v>
      </c>
      <c r="G478" s="91">
        <f>SUM(G473:G477)</f>
        <v>2911.88</v>
      </c>
      <c r="H478" s="92"/>
      <c r="I478" s="89"/>
      <c r="J478" s="9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04">
        <v>79.0</v>
      </c>
      <c r="B479" s="165" t="s">
        <v>748</v>
      </c>
      <c r="C479" s="109">
        <v>46218.0</v>
      </c>
      <c r="D479" s="104">
        <v>2.039029E7</v>
      </c>
      <c r="E479" s="112" t="s">
        <v>400</v>
      </c>
      <c r="F479" s="117" t="str">
        <f>'0408030'!B38</f>
        <v>artrodese toraco-lombo-sacra posterior  1 nivel</v>
      </c>
      <c r="G479" s="114">
        <f>'0408030'!C38</f>
        <v>470</v>
      </c>
      <c r="H479" s="116" t="str">
        <f>'por medico'!A15</f>
        <v>JAQUISSON  DE DEUS GUIMARÃES FILHO</v>
      </c>
      <c r="I479" s="61"/>
      <c r="J479" s="61" t="s">
        <v>175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65"/>
      <c r="B480" s="65"/>
      <c r="C480" s="65"/>
      <c r="D480" s="66"/>
      <c r="E480" s="112" t="s">
        <v>247</v>
      </c>
      <c r="F480" s="117" t="str">
        <f>'0403020'!B23</f>
        <v>tratamento cirurgico  de neuropatia compressiva com ou sem microcirurgia</v>
      </c>
      <c r="G480" s="114">
        <f>'0403020'!C23</f>
        <v>560</v>
      </c>
      <c r="H480" s="68" t="str">
        <f>'por medico'!A17</f>
        <v>EDUARDO VARJÃO VIEIRA </v>
      </c>
      <c r="I480" s="71"/>
      <c r="J480" s="7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65"/>
      <c r="B481" s="65"/>
      <c r="C481" s="65"/>
      <c r="D481" s="66"/>
      <c r="E481" s="112" t="s">
        <v>287</v>
      </c>
      <c r="F481" s="117"/>
      <c r="G481" s="114"/>
      <c r="H481" s="77"/>
      <c r="I481" s="71"/>
      <c r="J481" s="7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65"/>
      <c r="B482" s="65"/>
      <c r="C482" s="65"/>
      <c r="D482" s="66"/>
      <c r="E482" s="51" t="s">
        <v>287</v>
      </c>
      <c r="F482" s="55"/>
      <c r="G482" s="58"/>
      <c r="H482" s="77"/>
      <c r="I482" s="71"/>
      <c r="J482" s="7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65"/>
      <c r="B483" s="83"/>
      <c r="C483" s="65"/>
      <c r="D483" s="66"/>
      <c r="E483" s="51" t="s">
        <v>287</v>
      </c>
      <c r="F483" s="55"/>
      <c r="G483" s="58"/>
      <c r="H483" s="85"/>
      <c r="I483" s="86"/>
      <c r="J483" s="8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02"/>
      <c r="B484" s="89"/>
      <c r="C484" s="89"/>
      <c r="D484" s="89"/>
      <c r="E484" s="90" t="s">
        <v>287</v>
      </c>
      <c r="F484" s="28" t="s">
        <v>292</v>
      </c>
      <c r="G484" s="91">
        <f>SUM(G479:G483)</f>
        <v>1030</v>
      </c>
      <c r="H484" s="92"/>
      <c r="I484" s="89"/>
      <c r="J484" s="9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04">
        <v>80.0</v>
      </c>
      <c r="B485" s="109" t="s">
        <v>636</v>
      </c>
      <c r="C485" s="109">
        <v>46216.0</v>
      </c>
      <c r="D485" s="104">
        <v>2.0424636E7</v>
      </c>
      <c r="E485" s="51" t="s">
        <v>352</v>
      </c>
      <c r="F485" s="96" t="str">
        <f>'0403010'!B37</f>
        <v>tratamento cirurgico de fistula liquorica craniana</v>
      </c>
      <c r="G485" s="58">
        <f>'0403010'!C37</f>
        <v>671.94</v>
      </c>
      <c r="H485" s="116" t="str">
        <f>'por medico'!A14</f>
        <v>CAMILA MOURA DE SOUSA</v>
      </c>
      <c r="I485" s="61"/>
      <c r="J485" s="61" t="s">
        <v>175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65"/>
      <c r="B486" s="65"/>
      <c r="C486" s="65"/>
      <c r="D486" s="66"/>
      <c r="E486" s="51" t="s">
        <v>633</v>
      </c>
      <c r="F486" s="55" t="str">
        <f>'0403010'!B43</f>
        <v>Tratamento cirurgico de hematoma subdural agudo</v>
      </c>
      <c r="G486" s="58">
        <f>'0403010'!C43</f>
        <v>682.08</v>
      </c>
      <c r="H486" s="68" t="str">
        <f>'por medico'!A21</f>
        <v>WAGNER DE AZEVEDO  HERCULANO</v>
      </c>
      <c r="I486" s="71"/>
      <c r="J486" s="7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65"/>
      <c r="B487" s="65"/>
      <c r="C487" s="65"/>
      <c r="D487" s="66"/>
      <c r="E487" s="51" t="s">
        <v>344</v>
      </c>
      <c r="F487" s="96" t="str">
        <f>'0403010'!B14</f>
        <v>Craniotomia descompressiva</v>
      </c>
      <c r="G487" s="58">
        <f>'0403010'!C14</f>
        <v>391.86</v>
      </c>
      <c r="H487" s="77"/>
      <c r="I487" s="71"/>
      <c r="J487" s="7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65"/>
      <c r="B488" s="65"/>
      <c r="C488" s="65"/>
      <c r="D488" s="66"/>
      <c r="E488" s="51" t="s">
        <v>287</v>
      </c>
      <c r="F488" s="55"/>
      <c r="G488" s="58"/>
      <c r="H488" s="77"/>
      <c r="I488" s="71"/>
      <c r="J488" s="7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65"/>
      <c r="B489" s="83"/>
      <c r="C489" s="65"/>
      <c r="D489" s="66"/>
      <c r="E489" s="51" t="s">
        <v>287</v>
      </c>
      <c r="F489" s="55"/>
      <c r="G489" s="58"/>
      <c r="H489" s="85"/>
      <c r="I489" s="86"/>
      <c r="J489" s="8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02"/>
      <c r="B490" s="89"/>
      <c r="C490" s="89"/>
      <c r="D490" s="89"/>
      <c r="E490" s="90" t="s">
        <v>287</v>
      </c>
      <c r="F490" s="28" t="s">
        <v>292</v>
      </c>
      <c r="G490" s="91">
        <f>SUM(G485:G489)</f>
        <v>1745.88</v>
      </c>
      <c r="H490" s="92"/>
      <c r="I490" s="89"/>
      <c r="J490" s="9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04">
        <v>81.0</v>
      </c>
      <c r="B491" s="109" t="s">
        <v>582</v>
      </c>
      <c r="C491" s="109">
        <v>46209.0</v>
      </c>
      <c r="D491" s="104">
        <v>2.0302022E7</v>
      </c>
      <c r="E491" s="51" t="s">
        <v>468</v>
      </c>
      <c r="F491" s="55" t="str">
        <f>'0403040'!B21</f>
        <v>microcirurgia  para aneurisma da circulaço cerebral anterior menor  que 1,5 cm</v>
      </c>
      <c r="G491" s="58">
        <f>'0403040'!C21</f>
        <v>1568</v>
      </c>
      <c r="H491" s="59" t="str">
        <f>'por medico'!A21</f>
        <v>WAGNER DE AZEVEDO  HERCULANO</v>
      </c>
      <c r="I491" s="61"/>
      <c r="J491" s="61" t="s">
        <v>175</v>
      </c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65"/>
      <c r="B492" s="65"/>
      <c r="C492" s="65"/>
      <c r="D492" s="66"/>
      <c r="E492" s="112" t="s">
        <v>352</v>
      </c>
      <c r="F492" s="113" t="str">
        <f>'0403010'!B37</f>
        <v>tratamento cirurgico de fistula liquorica craniana</v>
      </c>
      <c r="G492" s="114">
        <f>'0403010'!C37</f>
        <v>671.94</v>
      </c>
      <c r="H492" s="68" t="str">
        <f>'por medico'!A23</f>
        <v>ARTUR BASTOS ROCHA</v>
      </c>
      <c r="I492" s="71"/>
      <c r="J492" s="71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65"/>
      <c r="B493" s="65"/>
      <c r="C493" s="65"/>
      <c r="D493" s="66"/>
      <c r="E493" s="112" t="s">
        <v>455</v>
      </c>
      <c r="F493" s="113" t="str">
        <f>'0403010'!B26</f>
        <v>reconstução craniama /cranio-facial</v>
      </c>
      <c r="G493" s="114">
        <f>'0403010'!C26</f>
        <v>671.94</v>
      </c>
      <c r="H493" s="77"/>
      <c r="I493" s="71"/>
      <c r="J493" s="71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65"/>
      <c r="B494" s="65"/>
      <c r="C494" s="65"/>
      <c r="D494" s="66"/>
      <c r="E494" s="51" t="s">
        <v>344</v>
      </c>
      <c r="F494" s="96" t="str">
        <f>'0403010'!B14</f>
        <v>Craniotomia descompressiva</v>
      </c>
      <c r="G494" s="58">
        <f>'0403010'!C14</f>
        <v>391.86</v>
      </c>
      <c r="H494" s="77"/>
      <c r="I494" s="71"/>
      <c r="J494" s="7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65"/>
      <c r="B495" s="83"/>
      <c r="C495" s="65"/>
      <c r="D495" s="66"/>
      <c r="E495" s="51" t="s">
        <v>287</v>
      </c>
      <c r="F495" s="55"/>
      <c r="G495" s="58"/>
      <c r="H495" s="85"/>
      <c r="I495" s="86"/>
      <c r="J495" s="8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02"/>
      <c r="B496" s="89"/>
      <c r="C496" s="89"/>
      <c r="D496" s="89"/>
      <c r="E496" s="90" t="s">
        <v>287</v>
      </c>
      <c r="F496" s="28" t="s">
        <v>292</v>
      </c>
      <c r="G496" s="91">
        <f>SUM(G491:G495)</f>
        <v>3303.74</v>
      </c>
      <c r="H496" s="92"/>
      <c r="I496" s="89"/>
      <c r="J496" s="9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04">
        <v>82.0</v>
      </c>
      <c r="B497" s="109" t="s">
        <v>750</v>
      </c>
      <c r="C497" s="109">
        <v>46220.0</v>
      </c>
      <c r="D497" s="104">
        <v>2.0398822E7</v>
      </c>
      <c r="E497" s="51" t="s">
        <v>451</v>
      </c>
      <c r="F497" s="55" t="str">
        <f>'0403030'!B23</f>
        <v>microcirurgia de tumor de base do cranio</v>
      </c>
      <c r="G497" s="58">
        <f>'0403030'!C23</f>
        <v>1865.92</v>
      </c>
      <c r="H497" s="116" t="str">
        <f>'por medico'!A16</f>
        <v>LUIZ AUGUSTO MEDRADO SOEIRO</v>
      </c>
      <c r="I497" s="61"/>
      <c r="J497" s="61" t="s">
        <v>175</v>
      </c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65"/>
      <c r="B498" s="65"/>
      <c r="C498" s="65"/>
      <c r="D498" s="66"/>
      <c r="E498" s="51" t="s">
        <v>729</v>
      </c>
      <c r="F498" s="55" t="str">
        <f>'0403030'!B15</f>
        <v>Craniotomia para retirada de tumor cerebral inclusivo da fossa posterior</v>
      </c>
      <c r="G498" s="58">
        <f>'0403030'!C15</f>
        <v>1072.5</v>
      </c>
      <c r="H498" s="68" t="str">
        <f>'por medico'!A23</f>
        <v>ARTUR BASTOS ROCHA</v>
      </c>
      <c r="I498" s="71"/>
      <c r="J498" s="71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65"/>
      <c r="B499" s="65"/>
      <c r="C499" s="65"/>
      <c r="D499" s="66"/>
      <c r="E499" s="112" t="s">
        <v>455</v>
      </c>
      <c r="F499" s="113" t="str">
        <f>'0403010'!B26</f>
        <v>reconstução craniama /cranio-facial</v>
      </c>
      <c r="G499" s="114">
        <f>'0403010'!C26</f>
        <v>671.94</v>
      </c>
      <c r="H499" s="77"/>
      <c r="I499" s="71"/>
      <c r="J499" s="71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65"/>
      <c r="B500" s="65"/>
      <c r="C500" s="65"/>
      <c r="D500" s="66"/>
      <c r="E500" s="112" t="s">
        <v>398</v>
      </c>
      <c r="F500" s="113" t="str">
        <f>'0403010'!B21</f>
        <v>derivação ventricular externa -subgaleal  externa</v>
      </c>
      <c r="G500" s="114">
        <f>'0403010'!C21</f>
        <v>286</v>
      </c>
      <c r="H500" s="77"/>
      <c r="I500" s="71"/>
      <c r="J500" s="71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65"/>
      <c r="B501" s="83"/>
      <c r="C501" s="65"/>
      <c r="D501" s="66"/>
      <c r="E501" s="51" t="s">
        <v>287</v>
      </c>
      <c r="F501" s="55"/>
      <c r="G501" s="58"/>
      <c r="H501" s="85"/>
      <c r="I501" s="86"/>
      <c r="J501" s="8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02"/>
      <c r="B502" s="89"/>
      <c r="C502" s="89"/>
      <c r="D502" s="89"/>
      <c r="E502" s="90" t="s">
        <v>287</v>
      </c>
      <c r="F502" s="28" t="s">
        <v>292</v>
      </c>
      <c r="G502" s="91">
        <f>SUM(G497:G501)</f>
        <v>3896.36</v>
      </c>
      <c r="H502" s="92"/>
      <c r="I502" s="89"/>
      <c r="J502" s="9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04">
        <v>83.0</v>
      </c>
      <c r="B503" s="165" t="s">
        <v>587</v>
      </c>
      <c r="C503" s="109">
        <v>46223.0</v>
      </c>
      <c r="D503" s="104">
        <v>1.4749915E7</v>
      </c>
      <c r="E503" s="51" t="s">
        <v>451</v>
      </c>
      <c r="F503" s="55" t="str">
        <f>'0403030'!B23</f>
        <v>microcirurgia de tumor de base do cranio</v>
      </c>
      <c r="G503" s="58">
        <f>'0403030'!C23</f>
        <v>1865.92</v>
      </c>
      <c r="H503" s="116" t="str">
        <f>'por medico'!A21</f>
        <v>WAGNER DE AZEVEDO  HERCULANO</v>
      </c>
      <c r="I503" s="61"/>
      <c r="J503" s="61" t="s">
        <v>175</v>
      </c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65"/>
      <c r="B504" s="65"/>
      <c r="C504" s="65"/>
      <c r="D504" s="66"/>
      <c r="E504" s="51" t="s">
        <v>729</v>
      </c>
      <c r="F504" s="55" t="str">
        <f>'0403030'!B15</f>
        <v>Craniotomia para retirada de tumor cerebral inclusivo da fossa posterior</v>
      </c>
      <c r="G504" s="58">
        <f>'0403030'!C15</f>
        <v>1072.5</v>
      </c>
      <c r="H504" s="68" t="str">
        <f>'por medico'!A17</f>
        <v>EDUARDO VARJÃO VIEIRA </v>
      </c>
      <c r="I504" s="71"/>
      <c r="J504" s="71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65"/>
      <c r="B505" s="65"/>
      <c r="C505" s="65"/>
      <c r="D505" s="66"/>
      <c r="E505" s="51" t="s">
        <v>455</v>
      </c>
      <c r="F505" s="96" t="str">
        <f>'0403010'!B26</f>
        <v>reconstução craniama /cranio-facial</v>
      </c>
      <c r="G505" s="58">
        <f>'0403010'!C26</f>
        <v>671.94</v>
      </c>
      <c r="H505" s="77"/>
      <c r="I505" s="71"/>
      <c r="J505" s="71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65"/>
      <c r="B506" s="65"/>
      <c r="C506" s="65"/>
      <c r="D506" s="66"/>
      <c r="E506" s="51" t="s">
        <v>287</v>
      </c>
      <c r="F506" s="55"/>
      <c r="G506" s="58"/>
      <c r="H506" s="77"/>
      <c r="I506" s="71"/>
      <c r="J506" s="7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65"/>
      <c r="B507" s="83"/>
      <c r="C507" s="65"/>
      <c r="D507" s="66"/>
      <c r="E507" s="51" t="s">
        <v>287</v>
      </c>
      <c r="F507" s="55"/>
      <c r="G507" s="58"/>
      <c r="H507" s="85"/>
      <c r="I507" s="86"/>
      <c r="J507" s="8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02"/>
      <c r="B508" s="89"/>
      <c r="C508" s="89"/>
      <c r="D508" s="89"/>
      <c r="E508" s="90" t="s">
        <v>287</v>
      </c>
      <c r="F508" s="28" t="s">
        <v>292</v>
      </c>
      <c r="G508" s="91">
        <f>SUM(G503:G507)</f>
        <v>3610.36</v>
      </c>
      <c r="H508" s="92"/>
      <c r="I508" s="89"/>
      <c r="J508" s="9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04">
        <v>84.0</v>
      </c>
      <c r="B509" s="165" t="s">
        <v>752</v>
      </c>
      <c r="C509" s="109">
        <v>46227.0</v>
      </c>
      <c r="D509" s="104">
        <v>1.5105216E7</v>
      </c>
      <c r="E509" s="112" t="s">
        <v>753</v>
      </c>
      <c r="F509" s="113" t="str">
        <f>'0403010'!B24</f>
        <v>microcirurgia cerebral endoscopica</v>
      </c>
      <c r="G509" s="114">
        <f>'0403010'!C24</f>
        <v>1399.44</v>
      </c>
      <c r="H509" s="116" t="str">
        <f>'por medico'!A21</f>
        <v>WAGNER DE AZEVEDO  HERCULANO</v>
      </c>
      <c r="I509" s="61"/>
      <c r="J509" s="61" t="s">
        <v>175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65"/>
      <c r="B510" s="65"/>
      <c r="C510" s="65"/>
      <c r="D510" s="66"/>
      <c r="E510" s="112" t="s">
        <v>344</v>
      </c>
      <c r="F510" s="113" t="str">
        <f>'0403010'!B14</f>
        <v>Craniotomia descompressiva</v>
      </c>
      <c r="G510" s="114">
        <f>'0403010'!C14</f>
        <v>391.86</v>
      </c>
      <c r="H510" s="68" t="str">
        <f>'por medico'!A23</f>
        <v>ARTUR BASTOS ROCHA</v>
      </c>
      <c r="I510" s="71"/>
      <c r="J510" s="7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65"/>
      <c r="B511" s="65"/>
      <c r="C511" s="65"/>
      <c r="D511" s="66"/>
      <c r="E511" s="112" t="s">
        <v>287</v>
      </c>
      <c r="F511" s="117"/>
      <c r="G511" s="114"/>
      <c r="H511" s="77"/>
      <c r="I511" s="71"/>
      <c r="J511" s="7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65"/>
      <c r="B512" s="65"/>
      <c r="C512" s="65"/>
      <c r="D512" s="66"/>
      <c r="E512" s="51" t="s">
        <v>287</v>
      </c>
      <c r="F512" s="55"/>
      <c r="G512" s="58"/>
      <c r="H512" s="77"/>
      <c r="I512" s="71"/>
      <c r="J512" s="7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65"/>
      <c r="B513" s="83"/>
      <c r="C513" s="65"/>
      <c r="D513" s="66"/>
      <c r="E513" s="51" t="s">
        <v>287</v>
      </c>
      <c r="F513" s="55"/>
      <c r="G513" s="58"/>
      <c r="H513" s="85"/>
      <c r="I513" s="86"/>
      <c r="J513" s="8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02"/>
      <c r="B514" s="89"/>
      <c r="C514" s="89"/>
      <c r="D514" s="89"/>
      <c r="E514" s="90" t="s">
        <v>287</v>
      </c>
      <c r="F514" s="28" t="s">
        <v>292</v>
      </c>
      <c r="G514" s="91">
        <f>SUM(G509:G513)</f>
        <v>1791.3</v>
      </c>
      <c r="H514" s="92"/>
      <c r="I514" s="89"/>
      <c r="J514" s="9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04">
        <v>85.0</v>
      </c>
      <c r="B515" s="165" t="s">
        <v>590</v>
      </c>
      <c r="C515" s="109">
        <v>46230.0</v>
      </c>
      <c r="D515" s="104">
        <v>2.0355533E7</v>
      </c>
      <c r="E515" s="112" t="s">
        <v>756</v>
      </c>
      <c r="F515" s="117" t="str">
        <f>'0403030'!B24</f>
        <v>microcirurgia de tumor de orbita</v>
      </c>
      <c r="G515" s="114">
        <f>'0403030'!C24</f>
        <v>1072.5</v>
      </c>
      <c r="H515" s="59" t="str">
        <f>'por medico'!A21</f>
        <v>WAGNER DE AZEVEDO  HERCULANO</v>
      </c>
      <c r="I515" s="61"/>
      <c r="J515" s="61" t="s">
        <v>175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65"/>
      <c r="B516" s="65"/>
      <c r="C516" s="65"/>
      <c r="D516" s="66"/>
      <c r="E516" s="51" t="s">
        <v>594</v>
      </c>
      <c r="F516" s="96" t="str">
        <f>'0403010'!B23</f>
        <v>descompressão de orbita por doença  ou trauma</v>
      </c>
      <c r="G516" s="58">
        <f>'0403010'!C23</f>
        <v>786.5</v>
      </c>
      <c r="H516" s="121" t="str">
        <f>'por medico'!A14</f>
        <v>CAMILA MOURA DE SOUSA</v>
      </c>
      <c r="I516" s="71"/>
      <c r="J516" s="7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65"/>
      <c r="B517" s="65"/>
      <c r="C517" s="65"/>
      <c r="D517" s="66"/>
      <c r="E517" s="51" t="s">
        <v>455</v>
      </c>
      <c r="F517" s="96" t="str">
        <f>'0403010'!B26</f>
        <v>reconstução craniama /cranio-facial</v>
      </c>
      <c r="G517" s="58">
        <f>'0403010'!C26</f>
        <v>671.94</v>
      </c>
      <c r="H517" s="77"/>
      <c r="I517" s="71"/>
      <c r="J517" s="7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65"/>
      <c r="B518" s="65"/>
      <c r="C518" s="65"/>
      <c r="D518" s="66"/>
      <c r="E518" s="51" t="s">
        <v>456</v>
      </c>
      <c r="F518" s="96" t="str">
        <f>'0403030'!B16</f>
        <v>Craniotomia para retirada de tumor intracraniano</v>
      </c>
      <c r="G518" s="58">
        <f>'0403030'!C16</f>
        <v>554.4</v>
      </c>
      <c r="H518" s="77"/>
      <c r="I518" s="71"/>
      <c r="J518" s="7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65"/>
      <c r="B519" s="83"/>
      <c r="C519" s="65"/>
      <c r="D519" s="66"/>
      <c r="E519" s="253"/>
      <c r="F519" s="55"/>
      <c r="G519" s="58"/>
      <c r="H519" s="85"/>
      <c r="I519" s="86"/>
      <c r="J519" s="8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02"/>
      <c r="B520" s="89"/>
      <c r="C520" s="89"/>
      <c r="D520" s="89"/>
      <c r="E520" s="254"/>
      <c r="F520" s="28" t="s">
        <v>292</v>
      </c>
      <c r="G520" s="91">
        <f>SUM(G515:G519)</f>
        <v>3085.34</v>
      </c>
      <c r="H520" s="92"/>
      <c r="I520" s="89"/>
      <c r="J520" s="9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idden="1">
      <c r="A521" s="104">
        <v>86.0</v>
      </c>
      <c r="B521" s="165"/>
      <c r="C521" s="109"/>
      <c r="D521" s="104"/>
      <c r="E521" s="255"/>
      <c r="F521" s="117"/>
      <c r="G521" s="114"/>
      <c r="H521" s="59"/>
      <c r="I521" s="63"/>
      <c r="J521" s="6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idden="1">
      <c r="A522" s="65"/>
      <c r="B522" s="65"/>
      <c r="C522" s="65"/>
      <c r="D522" s="66"/>
      <c r="E522" s="255"/>
      <c r="F522" s="117"/>
      <c r="G522" s="114"/>
      <c r="H522" s="68"/>
      <c r="I522" s="71"/>
      <c r="J522" s="7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idden="1">
      <c r="A523" s="65"/>
      <c r="B523" s="65"/>
      <c r="C523" s="65"/>
      <c r="D523" s="66"/>
      <c r="E523" s="255"/>
      <c r="F523" s="117"/>
      <c r="G523" s="114"/>
      <c r="H523" s="77"/>
      <c r="I523" s="71"/>
      <c r="J523" s="7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idden="1">
      <c r="A524" s="65"/>
      <c r="B524" s="65"/>
      <c r="C524" s="65"/>
      <c r="D524" s="66"/>
      <c r="E524" s="253"/>
      <c r="F524" s="55"/>
      <c r="G524" s="58"/>
      <c r="H524" s="77"/>
      <c r="I524" s="71"/>
      <c r="J524" s="7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idden="1">
      <c r="A525" s="65"/>
      <c r="B525" s="83"/>
      <c r="C525" s="65"/>
      <c r="D525" s="66"/>
      <c r="E525" s="253"/>
      <c r="F525" s="55"/>
      <c r="G525" s="58"/>
      <c r="H525" s="85"/>
      <c r="I525" s="86"/>
      <c r="J525" s="8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idden="1">
      <c r="A526" s="103"/>
      <c r="B526" s="103"/>
      <c r="C526" s="256"/>
      <c r="D526" s="256"/>
      <c r="E526" s="257"/>
      <c r="F526" s="28" t="s">
        <v>292</v>
      </c>
      <c r="G526" s="91">
        <f>SUM(G521:G525)</f>
        <v>0</v>
      </c>
      <c r="H526" s="92"/>
      <c r="I526" s="93"/>
      <c r="J526" s="10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idden="1">
      <c r="A527" s="104">
        <v>87.0</v>
      </c>
      <c r="B527" s="258"/>
      <c r="C527" s="47"/>
      <c r="D527" s="40"/>
      <c r="E527" s="259"/>
      <c r="F527" s="260"/>
      <c r="G527" s="261"/>
      <c r="H527" s="59"/>
      <c r="I527" s="61"/>
      <c r="J527" s="6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idden="1">
      <c r="A528" s="65"/>
      <c r="B528" s="154"/>
      <c r="C528" s="65"/>
      <c r="D528" s="66"/>
      <c r="E528" s="259"/>
      <c r="F528" s="260"/>
      <c r="G528" s="261"/>
      <c r="H528" s="121"/>
      <c r="I528" s="71"/>
      <c r="J528" s="7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idden="1">
      <c r="A529" s="65"/>
      <c r="B529" s="154"/>
      <c r="C529" s="65"/>
      <c r="D529" s="66"/>
      <c r="E529" s="259"/>
      <c r="F529" s="260"/>
      <c r="G529" s="261"/>
      <c r="H529" s="77"/>
      <c r="I529" s="71"/>
      <c r="J529" s="7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idden="1">
      <c r="A530" s="65"/>
      <c r="B530" s="154"/>
      <c r="C530" s="65"/>
      <c r="D530" s="66"/>
      <c r="E530" s="259"/>
      <c r="F530" s="260"/>
      <c r="G530" s="261"/>
      <c r="H530" s="77"/>
      <c r="I530" s="71"/>
      <c r="J530" s="7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idden="1">
      <c r="A531" s="65"/>
      <c r="B531" s="262"/>
      <c r="C531" s="83"/>
      <c r="D531" s="122"/>
      <c r="E531" s="259"/>
      <c r="F531" s="260"/>
      <c r="G531" s="261"/>
      <c r="H531" s="85"/>
      <c r="I531" s="86"/>
      <c r="J531" s="8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idden="1">
      <c r="A532" s="102"/>
      <c r="B532" s="89"/>
      <c r="C532" s="89"/>
      <c r="D532" s="89"/>
      <c r="E532" s="254"/>
      <c r="F532" s="28" t="s">
        <v>292</v>
      </c>
      <c r="G532" s="91">
        <f>SUM(G527:G531)</f>
        <v>0</v>
      </c>
      <c r="H532" s="92"/>
      <c r="I532" s="89"/>
      <c r="J532" s="9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idden="1">
      <c r="A533" s="104">
        <v>88.0</v>
      </c>
      <c r="B533" s="263"/>
      <c r="C533" s="47"/>
      <c r="D533" s="40"/>
      <c r="E533" s="259"/>
      <c r="F533" s="260"/>
      <c r="G533" s="261"/>
      <c r="H533" s="59"/>
      <c r="I533" s="61"/>
      <c r="J533" s="6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idden="1">
      <c r="A534" s="65"/>
      <c r="B534" s="154"/>
      <c r="C534" s="65"/>
      <c r="D534" s="66"/>
      <c r="E534" s="259"/>
      <c r="F534" s="260"/>
      <c r="G534" s="261"/>
      <c r="H534" s="68"/>
      <c r="I534" s="71"/>
      <c r="J534" s="7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idden="1">
      <c r="A535" s="65"/>
      <c r="B535" s="154"/>
      <c r="C535" s="65"/>
      <c r="D535" s="66"/>
      <c r="E535" s="259"/>
      <c r="F535" s="260"/>
      <c r="G535" s="261"/>
      <c r="H535" s="77"/>
      <c r="I535" s="71"/>
      <c r="J535" s="7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idden="1">
      <c r="A536" s="65"/>
      <c r="B536" s="154"/>
      <c r="C536" s="65"/>
      <c r="D536" s="66"/>
      <c r="E536" s="259"/>
      <c r="F536" s="260"/>
      <c r="G536" s="261"/>
      <c r="H536" s="77"/>
      <c r="I536" s="71"/>
      <c r="J536" s="7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idden="1">
      <c r="A537" s="65"/>
      <c r="B537" s="262"/>
      <c r="C537" s="83"/>
      <c r="D537" s="122"/>
      <c r="E537" s="259"/>
      <c r="F537" s="55"/>
      <c r="G537" s="58"/>
      <c r="H537" s="85"/>
      <c r="I537" s="86"/>
      <c r="J537" s="8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idden="1">
      <c r="A538" s="102"/>
      <c r="B538" s="89"/>
      <c r="C538" s="89"/>
      <c r="D538" s="89"/>
      <c r="E538" s="254"/>
      <c r="F538" s="28" t="s">
        <v>292</v>
      </c>
      <c r="G538" s="91">
        <f>SUM(G533:G537)</f>
        <v>0</v>
      </c>
      <c r="H538" s="92"/>
      <c r="I538" s="89"/>
      <c r="J538" s="9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idden="1">
      <c r="A539" s="104">
        <v>89.0</v>
      </c>
      <c r="B539" s="263"/>
      <c r="C539" s="47"/>
      <c r="D539" s="40"/>
      <c r="E539" s="259"/>
      <c r="F539" s="260"/>
      <c r="G539" s="261"/>
      <c r="H539" s="59"/>
      <c r="I539" s="61"/>
      <c r="J539" s="6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idden="1">
      <c r="A540" s="65"/>
      <c r="B540" s="154"/>
      <c r="C540" s="65"/>
      <c r="D540" s="66"/>
      <c r="E540" s="259"/>
      <c r="F540" s="260"/>
      <c r="G540" s="261"/>
      <c r="H540" s="68"/>
      <c r="I540" s="71"/>
      <c r="J540" s="7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idden="1">
      <c r="A541" s="65"/>
      <c r="B541" s="154"/>
      <c r="C541" s="65"/>
      <c r="D541" s="66"/>
      <c r="E541" s="264"/>
      <c r="F541" s="265"/>
      <c r="G541" s="266"/>
      <c r="H541" s="77"/>
      <c r="I541" s="71"/>
      <c r="J541" s="7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idden="1">
      <c r="A542" s="65"/>
      <c r="B542" s="154"/>
      <c r="C542" s="65"/>
      <c r="D542" s="66"/>
      <c r="E542" s="264"/>
      <c r="F542" s="265"/>
      <c r="G542" s="266"/>
      <c r="H542" s="77"/>
      <c r="I542" s="71"/>
      <c r="J542" s="7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idden="1">
      <c r="A543" s="65"/>
      <c r="B543" s="262"/>
      <c r="C543" s="83"/>
      <c r="D543" s="122"/>
      <c r="E543" s="259"/>
      <c r="F543" s="260"/>
      <c r="G543" s="261"/>
      <c r="H543" s="85"/>
      <c r="I543" s="86"/>
      <c r="J543" s="8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idden="1">
      <c r="A544" s="102"/>
      <c r="B544" s="89"/>
      <c r="C544" s="267"/>
      <c r="D544" s="267"/>
      <c r="E544" s="254"/>
      <c r="F544" s="28" t="s">
        <v>292</v>
      </c>
      <c r="G544" s="91">
        <f>SUM(G539:G543)</f>
        <v>0</v>
      </c>
      <c r="H544" s="92"/>
      <c r="I544" s="89"/>
      <c r="J544" s="9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idden="1">
      <c r="A545" s="104">
        <v>90.0</v>
      </c>
      <c r="B545" s="263"/>
      <c r="C545" s="47"/>
      <c r="D545" s="40"/>
      <c r="E545" s="259"/>
      <c r="F545" s="260"/>
      <c r="G545" s="261"/>
      <c r="H545" s="159"/>
      <c r="I545" s="61"/>
      <c r="J545" s="6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idden="1">
      <c r="A546" s="65"/>
      <c r="B546" s="154"/>
      <c r="C546" s="65"/>
      <c r="D546" s="66"/>
      <c r="E546" s="259"/>
      <c r="F546" s="260"/>
      <c r="G546" s="261"/>
      <c r="H546" s="77"/>
      <c r="I546" s="71"/>
      <c r="J546" s="7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idden="1">
      <c r="A547" s="65"/>
      <c r="B547" s="154"/>
      <c r="C547" s="65"/>
      <c r="D547" s="66"/>
      <c r="E547" s="264"/>
      <c r="F547" s="265"/>
      <c r="G547" s="266"/>
      <c r="H547" s="77"/>
      <c r="I547" s="71"/>
      <c r="J547" s="7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idden="1">
      <c r="A548" s="65"/>
      <c r="B548" s="154"/>
      <c r="C548" s="65"/>
      <c r="D548" s="66"/>
      <c r="E548" s="259"/>
      <c r="F548" s="260"/>
      <c r="G548" s="261"/>
      <c r="H548" s="77"/>
      <c r="I548" s="71"/>
      <c r="J548" s="7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idden="1">
      <c r="A549" s="65"/>
      <c r="B549" s="262"/>
      <c r="C549" s="83"/>
      <c r="D549" s="122"/>
      <c r="E549" s="259"/>
      <c r="F549" s="260"/>
      <c r="G549" s="261"/>
      <c r="H549" s="85"/>
      <c r="I549" s="86"/>
      <c r="J549" s="8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idden="1">
      <c r="A550" s="102"/>
      <c r="B550" s="89"/>
      <c r="C550" s="267"/>
      <c r="D550" s="267"/>
      <c r="E550" s="254"/>
      <c r="F550" s="28" t="s">
        <v>292</v>
      </c>
      <c r="G550" s="91">
        <f>SUM(G545:G549)</f>
        <v>0</v>
      </c>
      <c r="H550" s="92"/>
      <c r="I550" s="89"/>
      <c r="J550" s="9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idden="1">
      <c r="A551" s="104">
        <v>91.0</v>
      </c>
      <c r="B551" s="263"/>
      <c r="C551" s="47"/>
      <c r="D551" s="40"/>
      <c r="E551" s="264"/>
      <c r="F551" s="265"/>
      <c r="G551" s="266"/>
      <c r="H551" s="59"/>
      <c r="I551" s="61"/>
      <c r="J551" s="6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idden="1">
      <c r="A552" s="65"/>
      <c r="B552" s="154"/>
      <c r="C552" s="65"/>
      <c r="D552" s="66"/>
      <c r="E552" s="264"/>
      <c r="F552" s="265"/>
      <c r="G552" s="266"/>
      <c r="H552" s="68"/>
      <c r="I552" s="71"/>
      <c r="J552" s="7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idden="1">
      <c r="A553" s="65"/>
      <c r="B553" s="154"/>
      <c r="C553" s="65"/>
      <c r="D553" s="66"/>
      <c r="E553" s="264"/>
      <c r="F553" s="265"/>
      <c r="G553" s="266"/>
      <c r="H553" s="77"/>
      <c r="I553" s="71"/>
      <c r="J553" s="7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idden="1">
      <c r="A554" s="65"/>
      <c r="B554" s="154"/>
      <c r="C554" s="65"/>
      <c r="D554" s="66"/>
      <c r="E554" s="259"/>
      <c r="F554" s="260"/>
      <c r="G554" s="261"/>
      <c r="H554" s="77"/>
      <c r="I554" s="71"/>
      <c r="J554" s="7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idden="1">
      <c r="A555" s="65"/>
      <c r="B555" s="262"/>
      <c r="C555" s="83"/>
      <c r="D555" s="122"/>
      <c r="E555" s="259"/>
      <c r="F555" s="260"/>
      <c r="G555" s="261"/>
      <c r="H555" s="85"/>
      <c r="I555" s="86"/>
      <c r="J555" s="8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idden="1">
      <c r="A556" s="102"/>
      <c r="B556" s="89"/>
      <c r="C556" s="267"/>
      <c r="D556" s="267"/>
      <c r="E556" s="254"/>
      <c r="F556" s="28" t="s">
        <v>292</v>
      </c>
      <c r="G556" s="91">
        <f>SUM(G551:G555)</f>
        <v>0</v>
      </c>
      <c r="H556" s="92"/>
      <c r="I556" s="89"/>
      <c r="J556" s="9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idden="1">
      <c r="A557" s="104">
        <v>92.0</v>
      </c>
      <c r="B557" s="268"/>
      <c r="C557" s="47"/>
      <c r="D557" s="40"/>
      <c r="E557" s="264"/>
      <c r="F557" s="265"/>
      <c r="G557" s="266"/>
      <c r="H557" s="59"/>
      <c r="I557" s="61"/>
      <c r="J557" s="6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idden="1">
      <c r="A558" s="65"/>
      <c r="B558" s="154"/>
      <c r="C558" s="65"/>
      <c r="D558" s="66"/>
      <c r="E558" s="264"/>
      <c r="F558" s="265"/>
      <c r="G558" s="266"/>
      <c r="H558" s="68"/>
      <c r="I558" s="71"/>
      <c r="J558" s="7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idden="1">
      <c r="A559" s="65"/>
      <c r="B559" s="154"/>
      <c r="C559" s="65"/>
      <c r="D559" s="66"/>
      <c r="E559" s="264"/>
      <c r="F559" s="265"/>
      <c r="G559" s="266"/>
      <c r="H559" s="77"/>
      <c r="I559" s="71"/>
      <c r="J559" s="7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idden="1">
      <c r="A560" s="65"/>
      <c r="B560" s="154"/>
      <c r="C560" s="65"/>
      <c r="D560" s="66"/>
      <c r="E560" s="259"/>
      <c r="F560" s="260"/>
      <c r="G560" s="261"/>
      <c r="H560" s="77"/>
      <c r="I560" s="71"/>
      <c r="J560" s="7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idden="1">
      <c r="A561" s="65"/>
      <c r="B561" s="262"/>
      <c r="C561" s="83"/>
      <c r="D561" s="122"/>
      <c r="E561" s="259"/>
      <c r="F561" s="260"/>
      <c r="G561" s="261"/>
      <c r="H561" s="85"/>
      <c r="I561" s="86"/>
      <c r="J561" s="8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idden="1">
      <c r="A562" s="102"/>
      <c r="B562" s="89"/>
      <c r="C562" s="267"/>
      <c r="D562" s="267"/>
      <c r="E562" s="254"/>
      <c r="F562" s="28" t="s">
        <v>292</v>
      </c>
      <c r="G562" s="91">
        <f>SUM(G557:G561)</f>
        <v>0</v>
      </c>
      <c r="H562" s="92"/>
      <c r="I562" s="89"/>
      <c r="J562" s="9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idden="1">
      <c r="A563" s="104">
        <v>93.0</v>
      </c>
      <c r="B563" s="269"/>
      <c r="C563" s="47"/>
      <c r="D563" s="40"/>
      <c r="E563" s="270"/>
      <c r="F563" s="63"/>
      <c r="G563" s="271"/>
      <c r="H563" s="116"/>
      <c r="I563" s="61"/>
      <c r="J563" s="10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idden="1">
      <c r="A564" s="65"/>
      <c r="B564" s="154"/>
      <c r="C564" s="65"/>
      <c r="D564" s="66"/>
      <c r="E564" s="259"/>
      <c r="F564" s="260"/>
      <c r="G564" s="261"/>
      <c r="H564" s="68"/>
      <c r="I564" s="71"/>
      <c r="J564" s="6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idden="1">
      <c r="A565" s="65"/>
      <c r="B565" s="154"/>
      <c r="C565" s="65"/>
      <c r="D565" s="66"/>
      <c r="E565" s="259"/>
      <c r="F565" s="260"/>
      <c r="G565" s="261"/>
      <c r="H565" s="77"/>
      <c r="I565" s="71"/>
      <c r="J565" s="6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idden="1">
      <c r="A566" s="65"/>
      <c r="B566" s="154"/>
      <c r="C566" s="65"/>
      <c r="D566" s="66"/>
      <c r="E566" s="259"/>
      <c r="F566" s="260"/>
      <c r="G566" s="261"/>
      <c r="H566" s="77"/>
      <c r="I566" s="71"/>
      <c r="J566" s="6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idden="1">
      <c r="A567" s="65"/>
      <c r="B567" s="262"/>
      <c r="C567" s="83"/>
      <c r="D567" s="122"/>
      <c r="E567" s="259"/>
      <c r="F567" s="260"/>
      <c r="G567" s="261"/>
      <c r="H567" s="85"/>
      <c r="I567" s="86"/>
      <c r="J567" s="1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idden="1">
      <c r="A568" s="102"/>
      <c r="B568" s="89"/>
      <c r="C568" s="267"/>
      <c r="D568" s="267"/>
      <c r="E568" s="254"/>
      <c r="F568" s="28" t="s">
        <v>292</v>
      </c>
      <c r="G568" s="91">
        <f>SUM(G563:G567)</f>
        <v>0</v>
      </c>
      <c r="H568" s="92"/>
      <c r="I568" s="89"/>
      <c r="J568" s="9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idden="1">
      <c r="A569" s="104">
        <v>94.0</v>
      </c>
      <c r="B569" s="263"/>
      <c r="C569" s="47"/>
      <c r="D569" s="66"/>
      <c r="E569" s="270"/>
      <c r="F569" s="63"/>
      <c r="G569" s="271"/>
      <c r="H569" s="68"/>
      <c r="I569" s="71"/>
      <c r="J569" s="10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idden="1">
      <c r="A570" s="65"/>
      <c r="B570" s="154"/>
      <c r="C570" s="65"/>
      <c r="D570" s="66"/>
      <c r="E570" s="259"/>
      <c r="F570" s="260"/>
      <c r="G570" s="261"/>
      <c r="H570" s="77"/>
      <c r="I570" s="71"/>
      <c r="J570" s="6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idden="1">
      <c r="A571" s="65"/>
      <c r="B571" s="154"/>
      <c r="C571" s="65"/>
      <c r="D571" s="66"/>
      <c r="E571" s="259"/>
      <c r="F571" s="260"/>
      <c r="G571" s="261"/>
      <c r="H571" s="77"/>
      <c r="I571" s="71"/>
      <c r="J571" s="6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idden="1">
      <c r="A572" s="65"/>
      <c r="B572" s="154"/>
      <c r="C572" s="65"/>
      <c r="D572" s="66"/>
      <c r="E572" s="259"/>
      <c r="F572" s="260"/>
      <c r="G572" s="261"/>
      <c r="H572" s="77"/>
      <c r="I572" s="71"/>
      <c r="J572" s="6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idden="1">
      <c r="A573" s="65"/>
      <c r="B573" s="262"/>
      <c r="C573" s="83"/>
      <c r="D573" s="122"/>
      <c r="E573" s="259"/>
      <c r="F573" s="260"/>
      <c r="G573" s="261"/>
      <c r="H573" s="85"/>
      <c r="I573" s="86"/>
      <c r="J573" s="1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idden="1">
      <c r="A574" s="102"/>
      <c r="B574" s="89"/>
      <c r="C574" s="267"/>
      <c r="D574" s="267"/>
      <c r="E574" s="254"/>
      <c r="F574" s="28" t="s">
        <v>292</v>
      </c>
      <c r="G574" s="91">
        <f>SUM(G569:G573)</f>
        <v>0</v>
      </c>
      <c r="H574" s="92"/>
      <c r="I574" s="89"/>
      <c r="J574" s="9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idden="1">
      <c r="A575" s="104">
        <v>95.0</v>
      </c>
      <c r="B575" s="165"/>
      <c r="C575" s="109"/>
      <c r="D575" s="104"/>
      <c r="E575" s="270"/>
      <c r="F575" s="63"/>
      <c r="G575" s="271"/>
      <c r="H575" s="59"/>
      <c r="I575" s="61"/>
      <c r="J575" s="10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idden="1">
      <c r="A576" s="65"/>
      <c r="B576" s="154"/>
      <c r="C576" s="65"/>
      <c r="D576" s="66"/>
      <c r="E576" s="259"/>
      <c r="F576" s="260"/>
      <c r="G576" s="261"/>
      <c r="H576" s="121"/>
      <c r="I576" s="71"/>
      <c r="J576" s="6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idden="1">
      <c r="A577" s="65"/>
      <c r="B577" s="154"/>
      <c r="C577" s="65"/>
      <c r="D577" s="66"/>
      <c r="E577" s="259"/>
      <c r="F577" s="260"/>
      <c r="G577" s="261"/>
      <c r="H577" s="77"/>
      <c r="I577" s="71"/>
      <c r="J577" s="6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idden="1">
      <c r="A578" s="65"/>
      <c r="B578" s="154"/>
      <c r="C578" s="65"/>
      <c r="D578" s="66"/>
      <c r="E578" s="259"/>
      <c r="F578" s="260"/>
      <c r="G578" s="261"/>
      <c r="H578" s="77"/>
      <c r="I578" s="71"/>
      <c r="J578" s="6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idden="1">
      <c r="A579" s="65"/>
      <c r="B579" s="262"/>
      <c r="C579" s="83"/>
      <c r="D579" s="122"/>
      <c r="E579" s="259"/>
      <c r="F579" s="260"/>
      <c r="G579" s="261"/>
      <c r="H579" s="85"/>
      <c r="I579" s="86"/>
      <c r="J579" s="1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idden="1">
      <c r="A580" s="102"/>
      <c r="B580" s="89"/>
      <c r="C580" s="267"/>
      <c r="D580" s="267"/>
      <c r="E580" s="254"/>
      <c r="F580" s="28" t="s">
        <v>292</v>
      </c>
      <c r="G580" s="91">
        <f>SUM(G575:G579)</f>
        <v>0</v>
      </c>
      <c r="H580" s="92"/>
      <c r="I580" s="89"/>
      <c r="J580" s="9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idden="1">
      <c r="A581" s="104">
        <v>96.0</v>
      </c>
      <c r="B581" s="258"/>
      <c r="C581" s="47"/>
      <c r="D581" s="40"/>
      <c r="E581" s="270"/>
      <c r="F581" s="63"/>
      <c r="G581" s="271"/>
      <c r="H581" s="116"/>
      <c r="I581" s="61"/>
      <c r="J581" s="10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idden="1">
      <c r="A582" s="65"/>
      <c r="B582" s="154"/>
      <c r="C582" s="65"/>
      <c r="D582" s="66"/>
      <c r="E582" s="259"/>
      <c r="F582" s="260"/>
      <c r="G582" s="261"/>
      <c r="H582" s="68"/>
      <c r="I582" s="71"/>
      <c r="J582" s="6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idden="1">
      <c r="A583" s="65"/>
      <c r="B583" s="154"/>
      <c r="C583" s="65"/>
      <c r="D583" s="66"/>
      <c r="E583" s="259"/>
      <c r="F583" s="260"/>
      <c r="G583" s="261"/>
      <c r="H583" s="77"/>
      <c r="I583" s="71"/>
      <c r="J583" s="6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idden="1">
      <c r="A584" s="65"/>
      <c r="B584" s="154"/>
      <c r="C584" s="65"/>
      <c r="D584" s="66"/>
      <c r="E584" s="259"/>
      <c r="F584" s="260"/>
      <c r="G584" s="261"/>
      <c r="H584" s="77"/>
      <c r="I584" s="71"/>
      <c r="J584" s="6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idden="1">
      <c r="A585" s="65"/>
      <c r="B585" s="262"/>
      <c r="C585" s="83"/>
      <c r="D585" s="122"/>
      <c r="E585" s="259"/>
      <c r="F585" s="260"/>
      <c r="G585" s="261"/>
      <c r="H585" s="85"/>
      <c r="I585" s="86"/>
      <c r="J585" s="1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idden="1">
      <c r="A586" s="103"/>
      <c r="B586" s="103"/>
      <c r="C586" s="272"/>
      <c r="D586" s="272"/>
      <c r="E586" s="257"/>
      <c r="F586" s="28" t="s">
        <v>292</v>
      </c>
      <c r="G586" s="91">
        <f>SUM(G581:G585)</f>
        <v>0</v>
      </c>
      <c r="H586" s="92"/>
      <c r="I586" s="93"/>
      <c r="J586" s="10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idden="1">
      <c r="A587" s="104">
        <v>97.0</v>
      </c>
      <c r="B587" s="263"/>
      <c r="C587" s="47"/>
      <c r="D587" s="40"/>
      <c r="E587" s="270"/>
      <c r="F587" s="63"/>
      <c r="G587" s="271"/>
      <c r="H587" s="116"/>
      <c r="I587" s="61"/>
      <c r="J587" s="10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idden="1">
      <c r="A588" s="65"/>
      <c r="B588" s="154"/>
      <c r="C588" s="65"/>
      <c r="D588" s="66"/>
      <c r="E588" s="259"/>
      <c r="F588" s="260"/>
      <c r="G588" s="261"/>
      <c r="H588" s="77"/>
      <c r="I588" s="71"/>
      <c r="J588" s="6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idden="1">
      <c r="A589" s="65"/>
      <c r="B589" s="154"/>
      <c r="C589" s="65"/>
      <c r="D589" s="66"/>
      <c r="E589" s="259"/>
      <c r="F589" s="260"/>
      <c r="G589" s="261"/>
      <c r="H589" s="77"/>
      <c r="I589" s="71"/>
      <c r="J589" s="6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idden="1">
      <c r="A590" s="65"/>
      <c r="B590" s="154"/>
      <c r="C590" s="65"/>
      <c r="D590" s="66"/>
      <c r="E590" s="259"/>
      <c r="F590" s="260"/>
      <c r="G590" s="261"/>
      <c r="H590" s="77"/>
      <c r="I590" s="71"/>
      <c r="J590" s="6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idden="1">
      <c r="A591" s="65"/>
      <c r="B591" s="262"/>
      <c r="C591" s="83"/>
      <c r="D591" s="122"/>
      <c r="E591" s="259"/>
      <c r="F591" s="260"/>
      <c r="G591" s="261"/>
      <c r="H591" s="85"/>
      <c r="I591" s="86"/>
      <c r="J591" s="1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idden="1">
      <c r="A592" s="102"/>
      <c r="B592" s="89"/>
      <c r="C592" s="267"/>
      <c r="D592" s="267"/>
      <c r="E592" s="254"/>
      <c r="F592" s="28" t="s">
        <v>292</v>
      </c>
      <c r="G592" s="91">
        <f>SUM(G587:G591)</f>
        <v>0</v>
      </c>
      <c r="H592" s="92"/>
      <c r="I592" s="89"/>
      <c r="J592" s="9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idden="1">
      <c r="A593" s="104">
        <v>98.0</v>
      </c>
      <c r="B593" s="263"/>
      <c r="C593" s="47"/>
      <c r="D593" s="40"/>
      <c r="E593" s="270"/>
      <c r="F593" s="63"/>
      <c r="G593" s="271"/>
      <c r="H593" s="59"/>
      <c r="I593" s="61"/>
      <c r="J593" s="10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idden="1">
      <c r="A594" s="65"/>
      <c r="B594" s="154"/>
      <c r="C594" s="65"/>
      <c r="D594" s="66"/>
      <c r="E594" s="259"/>
      <c r="F594" s="260"/>
      <c r="G594" s="261"/>
      <c r="H594" s="68"/>
      <c r="I594" s="71"/>
      <c r="J594" s="6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idden="1">
      <c r="A595" s="65"/>
      <c r="B595" s="154"/>
      <c r="C595" s="65"/>
      <c r="D595" s="66"/>
      <c r="E595" s="259"/>
      <c r="F595" s="260"/>
      <c r="G595" s="261"/>
      <c r="H595" s="77"/>
      <c r="I595" s="71"/>
      <c r="J595" s="6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idden="1">
      <c r="A596" s="65"/>
      <c r="B596" s="154"/>
      <c r="C596" s="65"/>
      <c r="D596" s="66"/>
      <c r="E596" s="259"/>
      <c r="F596" s="260"/>
      <c r="G596" s="261"/>
      <c r="H596" s="77"/>
      <c r="I596" s="71"/>
      <c r="J596" s="6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idden="1">
      <c r="A597" s="65"/>
      <c r="B597" s="262"/>
      <c r="C597" s="83"/>
      <c r="D597" s="122"/>
      <c r="E597" s="259"/>
      <c r="F597" s="260"/>
      <c r="G597" s="261"/>
      <c r="H597" s="85"/>
      <c r="I597" s="86"/>
      <c r="J597" s="1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idden="1">
      <c r="A598" s="102"/>
      <c r="B598" s="89"/>
      <c r="C598" s="267"/>
      <c r="D598" s="267"/>
      <c r="E598" s="254"/>
      <c r="F598" s="28" t="s">
        <v>292</v>
      </c>
      <c r="G598" s="91">
        <f>SUM(G593:G597)</f>
        <v>0</v>
      </c>
      <c r="H598" s="92"/>
      <c r="I598" s="89"/>
      <c r="J598" s="9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idden="1">
      <c r="A599" s="104">
        <v>99.0</v>
      </c>
      <c r="B599" s="263"/>
      <c r="C599" s="47"/>
      <c r="D599" s="40"/>
      <c r="E599" s="270"/>
      <c r="F599" s="63"/>
      <c r="G599" s="271"/>
      <c r="H599" s="116"/>
      <c r="I599" s="61"/>
      <c r="J599" s="10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idden="1">
      <c r="A600" s="65"/>
      <c r="B600" s="154"/>
      <c r="C600" s="65"/>
      <c r="D600" s="66"/>
      <c r="E600" s="259"/>
      <c r="F600" s="260"/>
      <c r="G600" s="261"/>
      <c r="H600" s="68"/>
      <c r="I600" s="71"/>
      <c r="J600" s="6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idden="1">
      <c r="A601" s="65"/>
      <c r="B601" s="154"/>
      <c r="C601" s="65"/>
      <c r="D601" s="66"/>
      <c r="E601" s="259"/>
      <c r="F601" s="260"/>
      <c r="G601" s="261"/>
      <c r="H601" s="77"/>
      <c r="I601" s="71"/>
      <c r="J601" s="6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idden="1">
      <c r="A602" s="65"/>
      <c r="B602" s="154"/>
      <c r="C602" s="65"/>
      <c r="D602" s="66"/>
      <c r="E602" s="259"/>
      <c r="F602" s="260"/>
      <c r="G602" s="261"/>
      <c r="H602" s="77"/>
      <c r="I602" s="71"/>
      <c r="J602" s="6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idden="1">
      <c r="A603" s="65"/>
      <c r="B603" s="262"/>
      <c r="C603" s="83"/>
      <c r="D603" s="122"/>
      <c r="E603" s="259"/>
      <c r="F603" s="260"/>
      <c r="G603" s="261"/>
      <c r="H603" s="85"/>
      <c r="I603" s="86"/>
      <c r="J603" s="1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idden="1">
      <c r="A604" s="102"/>
      <c r="B604" s="89"/>
      <c r="C604" s="267"/>
      <c r="D604" s="267"/>
      <c r="E604" s="254"/>
      <c r="F604" s="28" t="s">
        <v>292</v>
      </c>
      <c r="G604" s="91">
        <f>SUM(G599:G603)</f>
        <v>0</v>
      </c>
      <c r="H604" s="273"/>
      <c r="I604" s="149"/>
      <c r="J604" s="27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idden="1">
      <c r="A605" s="104">
        <v>100.0</v>
      </c>
      <c r="B605" s="263"/>
      <c r="C605" s="47"/>
      <c r="D605" s="40"/>
      <c r="E605" s="264"/>
      <c r="F605" s="265"/>
      <c r="G605" s="266"/>
      <c r="H605" s="59"/>
      <c r="I605" s="61"/>
      <c r="J605" s="6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idden="1">
      <c r="A606" s="65"/>
      <c r="B606" s="154"/>
      <c r="C606" s="65"/>
      <c r="D606" s="66"/>
      <c r="E606" s="264"/>
      <c r="F606" s="265"/>
      <c r="G606" s="266"/>
      <c r="H606" s="68"/>
      <c r="I606" s="71"/>
      <c r="J606" s="7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idden="1">
      <c r="A607" s="65"/>
      <c r="B607" s="154"/>
      <c r="C607" s="65"/>
      <c r="D607" s="66"/>
      <c r="E607" s="264"/>
      <c r="F607" s="265"/>
      <c r="G607" s="266"/>
      <c r="H607" s="77"/>
      <c r="I607" s="71"/>
      <c r="J607" s="7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idden="1">
      <c r="A608" s="65"/>
      <c r="B608" s="154"/>
      <c r="C608" s="65"/>
      <c r="D608" s="66"/>
      <c r="E608" s="259"/>
      <c r="F608" s="260"/>
      <c r="G608" s="261"/>
      <c r="H608" s="77"/>
      <c r="I608" s="71"/>
      <c r="J608" s="7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idden="1">
      <c r="A609" s="65"/>
      <c r="B609" s="262"/>
      <c r="C609" s="83"/>
      <c r="D609" s="122"/>
      <c r="E609" s="259"/>
      <c r="F609" s="260"/>
      <c r="G609" s="261"/>
      <c r="H609" s="85"/>
      <c r="I609" s="86"/>
      <c r="J609" s="8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idden="1">
      <c r="A610" s="87"/>
      <c r="B610" s="88"/>
      <c r="C610" s="267"/>
      <c r="D610" s="267"/>
      <c r="E610" s="254"/>
      <c r="F610" s="28" t="s">
        <v>292</v>
      </c>
      <c r="G610" s="91">
        <f>SUM(G605:G609)</f>
        <v>0</v>
      </c>
      <c r="H610" s="92"/>
      <c r="I610" s="89"/>
      <c r="J610" s="93"/>
      <c r="K610" s="1"/>
      <c r="L610" s="9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idden="1">
      <c r="A611" s="104">
        <v>101.0</v>
      </c>
      <c r="B611" s="263"/>
      <c r="C611" s="47"/>
      <c r="D611" s="40"/>
      <c r="E611" s="264"/>
      <c r="F611" s="265"/>
      <c r="G611" s="266"/>
      <c r="H611" s="116"/>
      <c r="I611" s="61"/>
      <c r="J611" s="61"/>
      <c r="K611" s="1"/>
      <c r="L611" s="6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idden="1">
      <c r="A612" s="65"/>
      <c r="B612" s="154"/>
      <c r="C612" s="65"/>
      <c r="D612" s="66"/>
      <c r="E612" s="264"/>
      <c r="F612" s="265"/>
      <c r="G612" s="266"/>
      <c r="H612" s="77"/>
      <c r="I612" s="71"/>
      <c r="J612" s="71"/>
      <c r="K612" s="1"/>
      <c r="L612" s="6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idden="1">
      <c r="A613" s="65"/>
      <c r="B613" s="154"/>
      <c r="C613" s="65"/>
      <c r="D613" s="66"/>
      <c r="E613" s="264"/>
      <c r="F613" s="265"/>
      <c r="G613" s="266"/>
      <c r="H613" s="77"/>
      <c r="I613" s="71"/>
      <c r="J613" s="7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idden="1">
      <c r="A614" s="65"/>
      <c r="B614" s="154"/>
      <c r="C614" s="65"/>
      <c r="D614" s="66"/>
      <c r="E614" s="259"/>
      <c r="F614" s="260"/>
      <c r="G614" s="261"/>
      <c r="H614" s="77"/>
      <c r="I614" s="71"/>
      <c r="J614" s="7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idden="1">
      <c r="A615" s="65"/>
      <c r="B615" s="262"/>
      <c r="C615" s="83"/>
      <c r="D615" s="122"/>
      <c r="E615" s="259"/>
      <c r="F615" s="260"/>
      <c r="G615" s="261"/>
      <c r="H615" s="85"/>
      <c r="I615" s="86"/>
      <c r="J615" s="8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idden="1">
      <c r="A616" s="102"/>
      <c r="B616" s="89"/>
      <c r="C616" s="88"/>
      <c r="D616" s="88"/>
      <c r="E616" s="254"/>
      <c r="F616" s="28" t="s">
        <v>292</v>
      </c>
      <c r="G616" s="91">
        <f>SUM(G611:G615)</f>
        <v>0</v>
      </c>
      <c r="H616" s="92"/>
      <c r="I616" s="89"/>
      <c r="J616" s="9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idden="1">
      <c r="A617" s="104">
        <v>102.0</v>
      </c>
      <c r="B617" s="109"/>
      <c r="C617" s="109"/>
      <c r="D617" s="104"/>
      <c r="E617" s="255"/>
      <c r="F617" s="117"/>
      <c r="G617" s="114"/>
      <c r="H617" s="59"/>
      <c r="I617" s="61"/>
      <c r="J617" s="6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idden="1">
      <c r="A618" s="65"/>
      <c r="B618" s="65"/>
      <c r="C618" s="65"/>
      <c r="D618" s="66"/>
      <c r="E618" s="255"/>
      <c r="F618" s="117"/>
      <c r="G618" s="114"/>
      <c r="H618" s="68"/>
      <c r="I618" s="71"/>
      <c r="J618" s="7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idden="1">
      <c r="A619" s="65"/>
      <c r="B619" s="65"/>
      <c r="C619" s="65"/>
      <c r="D619" s="66"/>
      <c r="E619" s="255"/>
      <c r="F619" s="117"/>
      <c r="G619" s="114"/>
      <c r="H619" s="77"/>
      <c r="I619" s="71"/>
      <c r="J619" s="7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idden="1">
      <c r="A620" s="65"/>
      <c r="B620" s="65"/>
      <c r="C620" s="65"/>
      <c r="D620" s="66"/>
      <c r="E620" s="253"/>
      <c r="F620" s="55"/>
      <c r="G620" s="58"/>
      <c r="H620" s="77"/>
      <c r="I620" s="71"/>
      <c r="J620" s="7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idden="1">
      <c r="A621" s="65"/>
      <c r="B621" s="83"/>
      <c r="C621" s="65"/>
      <c r="D621" s="66"/>
      <c r="E621" s="253"/>
      <c r="F621" s="55"/>
      <c r="G621" s="58"/>
      <c r="H621" s="85"/>
      <c r="I621" s="86"/>
      <c r="J621" s="8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idden="1">
      <c r="A622" s="102"/>
      <c r="B622" s="89"/>
      <c r="C622" s="149"/>
      <c r="D622" s="149"/>
      <c r="E622" s="254"/>
      <c r="F622" s="28" t="s">
        <v>292</v>
      </c>
      <c r="G622" s="91">
        <f>SUM(G617:G621)</f>
        <v>0</v>
      </c>
      <c r="H622" s="92"/>
      <c r="I622" s="89"/>
      <c r="J622" s="9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idden="1">
      <c r="A623" s="104">
        <v>103.0</v>
      </c>
      <c r="B623" s="275"/>
      <c r="C623" s="47"/>
      <c r="D623" s="40"/>
      <c r="E623" s="264"/>
      <c r="F623" s="265"/>
      <c r="G623" s="266"/>
      <c r="H623" s="116"/>
      <c r="I623" s="61"/>
      <c r="J623" s="6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idden="1">
      <c r="A624" s="65"/>
      <c r="B624" s="154"/>
      <c r="C624" s="65"/>
      <c r="D624" s="66"/>
      <c r="E624" s="264"/>
      <c r="F624" s="265"/>
      <c r="G624" s="266"/>
      <c r="H624" s="68"/>
      <c r="I624" s="71"/>
      <c r="J624" s="7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idden="1">
      <c r="A625" s="65"/>
      <c r="B625" s="154"/>
      <c r="C625" s="65"/>
      <c r="D625" s="66"/>
      <c r="E625" s="264"/>
      <c r="F625" s="265"/>
      <c r="G625" s="266"/>
      <c r="H625" s="77"/>
      <c r="I625" s="71"/>
      <c r="J625" s="7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idden="1">
      <c r="A626" s="65"/>
      <c r="B626" s="154"/>
      <c r="C626" s="65"/>
      <c r="D626" s="66"/>
      <c r="E626" s="259"/>
      <c r="F626" s="260"/>
      <c r="G626" s="261"/>
      <c r="H626" s="77"/>
      <c r="I626" s="71"/>
      <c r="J626" s="7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idden="1">
      <c r="A627" s="65"/>
      <c r="B627" s="262"/>
      <c r="C627" s="83"/>
      <c r="D627" s="122"/>
      <c r="E627" s="259"/>
      <c r="F627" s="260"/>
      <c r="G627" s="261"/>
      <c r="H627" s="85"/>
      <c r="I627" s="86"/>
      <c r="J627" s="8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idden="1">
      <c r="A628" s="102"/>
      <c r="B628" s="89"/>
      <c r="C628" s="88"/>
      <c r="D628" s="88"/>
      <c r="E628" s="254"/>
      <c r="F628" s="28" t="s">
        <v>292</v>
      </c>
      <c r="G628" s="91">
        <f>SUM(G623:G627)</f>
        <v>0</v>
      </c>
      <c r="H628" s="92"/>
      <c r="I628" s="89"/>
      <c r="J628" s="9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idden="1">
      <c r="A629" s="104">
        <v>104.0</v>
      </c>
      <c r="B629" s="163"/>
      <c r="C629" s="109"/>
      <c r="D629" s="104"/>
      <c r="E629" s="255"/>
      <c r="F629" s="117"/>
      <c r="G629" s="114"/>
      <c r="H629" s="59"/>
      <c r="I629" s="61"/>
      <c r="J629" s="6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idden="1">
      <c r="A630" s="65"/>
      <c r="B630" s="65"/>
      <c r="C630" s="65"/>
      <c r="D630" s="66"/>
      <c r="E630" s="255"/>
      <c r="F630" s="117"/>
      <c r="G630" s="114"/>
      <c r="H630" s="68"/>
      <c r="I630" s="71"/>
      <c r="J630" s="7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idden="1">
      <c r="A631" s="65"/>
      <c r="B631" s="65"/>
      <c r="C631" s="65"/>
      <c r="D631" s="66"/>
      <c r="E631" s="255"/>
      <c r="F631" s="117"/>
      <c r="G631" s="114"/>
      <c r="H631" s="77"/>
      <c r="I631" s="71"/>
      <c r="J631" s="71"/>
      <c r="K631" s="11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idden="1">
      <c r="A632" s="65"/>
      <c r="B632" s="65"/>
      <c r="C632" s="65"/>
      <c r="D632" s="66"/>
      <c r="E632" s="253"/>
      <c r="F632" s="55"/>
      <c r="G632" s="58"/>
      <c r="H632" s="77"/>
      <c r="I632" s="71"/>
      <c r="J632" s="7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idden="1">
      <c r="A633" s="65"/>
      <c r="B633" s="83"/>
      <c r="C633" s="65"/>
      <c r="D633" s="66"/>
      <c r="E633" s="253"/>
      <c r="F633" s="55"/>
      <c r="G633" s="58"/>
      <c r="H633" s="85"/>
      <c r="I633" s="86"/>
      <c r="J633" s="8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idden="1">
      <c r="A634" s="102"/>
      <c r="B634" s="89"/>
      <c r="C634" s="149"/>
      <c r="D634" s="149"/>
      <c r="E634" s="254"/>
      <c r="F634" s="28" t="s">
        <v>292</v>
      </c>
      <c r="G634" s="91">
        <f>SUM(G629:G633)</f>
        <v>0</v>
      </c>
      <c r="H634" s="92"/>
      <c r="I634" s="89"/>
      <c r="J634" s="9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idden="1">
      <c r="A635" s="104">
        <v>105.0</v>
      </c>
      <c r="B635" s="258"/>
      <c r="C635" s="47"/>
      <c r="D635" s="40"/>
      <c r="E635" s="264"/>
      <c r="F635" s="265"/>
      <c r="G635" s="266"/>
      <c r="H635" s="59"/>
      <c r="I635" s="61"/>
      <c r="J635" s="6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idden="1">
      <c r="A636" s="65"/>
      <c r="B636" s="154"/>
      <c r="C636" s="65"/>
      <c r="D636" s="66"/>
      <c r="E636" s="264"/>
      <c r="F636" s="265"/>
      <c r="G636" s="266"/>
      <c r="H636" s="68"/>
      <c r="I636" s="71"/>
      <c r="J636" s="7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idden="1">
      <c r="A637" s="65"/>
      <c r="B637" s="154"/>
      <c r="C637" s="65"/>
      <c r="D637" s="66"/>
      <c r="E637" s="264"/>
      <c r="F637" s="265"/>
      <c r="G637" s="266"/>
      <c r="H637" s="77"/>
      <c r="I637" s="71"/>
      <c r="J637" s="7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idden="1">
      <c r="A638" s="65"/>
      <c r="B638" s="154"/>
      <c r="C638" s="65"/>
      <c r="D638" s="66"/>
      <c r="E638" s="259"/>
      <c r="F638" s="260"/>
      <c r="G638" s="261"/>
      <c r="H638" s="77"/>
      <c r="I638" s="71"/>
      <c r="J638" s="7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idden="1">
      <c r="A639" s="65"/>
      <c r="B639" s="262"/>
      <c r="C639" s="83"/>
      <c r="D639" s="122"/>
      <c r="E639" s="259"/>
      <c r="F639" s="55"/>
      <c r="G639" s="58"/>
      <c r="H639" s="85"/>
      <c r="I639" s="86"/>
      <c r="J639" s="8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idden="1">
      <c r="A640" s="102"/>
      <c r="B640" s="149"/>
      <c r="C640" s="267"/>
      <c r="D640" s="267"/>
      <c r="E640" s="254"/>
      <c r="F640" s="28" t="s">
        <v>292</v>
      </c>
      <c r="G640" s="91">
        <f>SUM(G635:G639)</f>
        <v>0</v>
      </c>
      <c r="H640" s="92"/>
      <c r="I640" s="89"/>
      <c r="J640" s="9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idden="1">
      <c r="A641" s="152">
        <v>106.0</v>
      </c>
      <c r="B641" s="161"/>
      <c r="C641" s="47"/>
      <c r="D641" s="40"/>
      <c r="E641" s="264"/>
      <c r="F641" s="265"/>
      <c r="G641" s="266"/>
      <c r="H641" s="59"/>
      <c r="I641" s="61"/>
      <c r="J641" s="6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idden="1">
      <c r="A642" s="154"/>
      <c r="B642" s="65"/>
      <c r="C642" s="65"/>
      <c r="D642" s="66"/>
      <c r="E642" s="264"/>
      <c r="F642" s="265"/>
      <c r="G642" s="266"/>
      <c r="H642" s="68"/>
      <c r="I642" s="71"/>
      <c r="J642" s="7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idden="1">
      <c r="A643" s="154"/>
      <c r="B643" s="65"/>
      <c r="C643" s="65"/>
      <c r="D643" s="66"/>
      <c r="E643" s="264"/>
      <c r="F643" s="265"/>
      <c r="G643" s="266"/>
      <c r="H643" s="77"/>
      <c r="I643" s="71"/>
      <c r="J643" s="7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idden="1">
      <c r="A644" s="154"/>
      <c r="B644" s="65"/>
      <c r="C644" s="65"/>
      <c r="D644" s="66"/>
      <c r="E644" s="259"/>
      <c r="F644" s="260"/>
      <c r="G644" s="261"/>
      <c r="H644" s="77"/>
      <c r="I644" s="71"/>
      <c r="J644" s="7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idden="1">
      <c r="A645" s="154"/>
      <c r="B645" s="83"/>
      <c r="C645" s="83"/>
      <c r="D645" s="122"/>
      <c r="E645" s="259"/>
      <c r="F645" s="260"/>
      <c r="G645" s="261"/>
      <c r="H645" s="85"/>
      <c r="I645" s="86"/>
      <c r="J645" s="8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idden="1">
      <c r="A646" s="102"/>
      <c r="B646" s="88"/>
      <c r="C646" s="88"/>
      <c r="D646" s="88"/>
      <c r="E646" s="254"/>
      <c r="F646" s="28" t="s">
        <v>292</v>
      </c>
      <c r="G646" s="91">
        <f>SUM(G641:G645)</f>
        <v>0</v>
      </c>
      <c r="H646" s="92"/>
      <c r="I646" s="89"/>
      <c r="J646" s="9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idden="1">
      <c r="A647" s="104">
        <v>107.0</v>
      </c>
      <c r="B647" s="109"/>
      <c r="C647" s="109"/>
      <c r="D647" s="104"/>
      <c r="E647" s="255"/>
      <c r="F647" s="117"/>
      <c r="G647" s="114"/>
      <c r="H647" s="59"/>
      <c r="I647" s="61"/>
      <c r="J647" s="6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idden="1">
      <c r="A648" s="65"/>
      <c r="B648" s="65"/>
      <c r="C648" s="65"/>
      <c r="D648" s="66"/>
      <c r="E648" s="255"/>
      <c r="F648" s="117"/>
      <c r="G648" s="114"/>
      <c r="H648" s="68"/>
      <c r="I648" s="71"/>
      <c r="J648" s="7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idden="1">
      <c r="A649" s="65"/>
      <c r="B649" s="65"/>
      <c r="C649" s="65"/>
      <c r="D649" s="66"/>
      <c r="E649" s="255"/>
      <c r="F649" s="117"/>
      <c r="G649" s="114"/>
      <c r="H649" s="77"/>
      <c r="I649" s="71"/>
      <c r="J649" s="7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idden="1">
      <c r="A650" s="65"/>
      <c r="B650" s="65"/>
      <c r="C650" s="65"/>
      <c r="D650" s="66"/>
      <c r="E650" s="253"/>
      <c r="F650" s="55"/>
      <c r="G650" s="58"/>
      <c r="H650" s="77"/>
      <c r="I650" s="71"/>
      <c r="J650" s="7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idden="1">
      <c r="A651" s="65"/>
      <c r="B651" s="83"/>
      <c r="C651" s="65"/>
      <c r="D651" s="66"/>
      <c r="E651" s="253"/>
      <c r="F651" s="55"/>
      <c r="G651" s="58"/>
      <c r="H651" s="85"/>
      <c r="I651" s="86"/>
      <c r="J651" s="8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idden="1">
      <c r="A652" s="102"/>
      <c r="B652" s="89"/>
      <c r="C652" s="89"/>
      <c r="D652" s="89"/>
      <c r="E652" s="254"/>
      <c r="F652" s="28" t="s">
        <v>292</v>
      </c>
      <c r="G652" s="91">
        <f>SUM(G647:G651)</f>
        <v>0</v>
      </c>
      <c r="H652" s="92"/>
      <c r="I652" s="89"/>
      <c r="J652" s="9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idden="1">
      <c r="A653" s="104">
        <v>108.0</v>
      </c>
      <c r="B653" s="109"/>
      <c r="C653" s="109"/>
      <c r="D653" s="66"/>
      <c r="E653" s="255"/>
      <c r="F653" s="117"/>
      <c r="G653" s="114"/>
      <c r="H653" s="59"/>
      <c r="I653" s="61"/>
      <c r="J653" s="6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idden="1">
      <c r="A654" s="65"/>
      <c r="B654" s="65"/>
      <c r="C654" s="65"/>
      <c r="D654" s="66"/>
      <c r="E654" s="255"/>
      <c r="F654" s="117"/>
      <c r="G654" s="114"/>
      <c r="H654" s="68"/>
      <c r="I654" s="71"/>
      <c r="J654" s="7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idden="1">
      <c r="A655" s="65"/>
      <c r="B655" s="65"/>
      <c r="C655" s="65"/>
      <c r="D655" s="66"/>
      <c r="E655" s="255"/>
      <c r="F655" s="117"/>
      <c r="G655" s="114"/>
      <c r="H655" s="77"/>
      <c r="I655" s="71"/>
      <c r="J655" s="7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idden="1">
      <c r="A656" s="65"/>
      <c r="B656" s="65"/>
      <c r="C656" s="65"/>
      <c r="D656" s="66"/>
      <c r="E656" s="253"/>
      <c r="F656" s="55"/>
      <c r="G656" s="58"/>
      <c r="H656" s="77"/>
      <c r="I656" s="71"/>
      <c r="J656" s="7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idden="1">
      <c r="A657" s="65"/>
      <c r="B657" s="83"/>
      <c r="C657" s="65"/>
      <c r="D657" s="66"/>
      <c r="E657" s="253"/>
      <c r="F657" s="55"/>
      <c r="G657" s="58"/>
      <c r="H657" s="77"/>
      <c r="I657" s="71"/>
      <c r="J657" s="8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idden="1">
      <c r="A658" s="103"/>
      <c r="B658" s="103"/>
      <c r="C658" s="103"/>
      <c r="D658" s="103"/>
      <c r="E658" s="257"/>
      <c r="F658" s="28" t="s">
        <v>292</v>
      </c>
      <c r="G658" s="276">
        <f>SUM(G653:G657)</f>
        <v>0</v>
      </c>
      <c r="H658" s="92"/>
      <c r="I658" s="93"/>
      <c r="J658" s="25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idden="1">
      <c r="A659" s="104">
        <v>109.0</v>
      </c>
      <c r="B659" s="109"/>
      <c r="C659" s="109"/>
      <c r="D659" s="104"/>
      <c r="E659" s="255"/>
      <c r="F659" s="117"/>
      <c r="G659" s="114"/>
      <c r="H659" s="116"/>
      <c r="I659" s="61"/>
      <c r="J659" s="10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idden="1">
      <c r="A660" s="65"/>
      <c r="B660" s="65"/>
      <c r="C660" s="65"/>
      <c r="D660" s="66"/>
      <c r="E660" s="255"/>
      <c r="F660" s="117"/>
      <c r="G660" s="114"/>
      <c r="H660" s="68"/>
      <c r="I660" s="71"/>
      <c r="J660" s="6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idden="1">
      <c r="A661" s="65"/>
      <c r="B661" s="65"/>
      <c r="C661" s="65"/>
      <c r="D661" s="66"/>
      <c r="E661" s="255"/>
      <c r="F661" s="117"/>
      <c r="G661" s="114"/>
      <c r="H661" s="77"/>
      <c r="I661" s="71"/>
      <c r="J661" s="6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idden="1">
      <c r="A662" s="65"/>
      <c r="B662" s="65"/>
      <c r="C662" s="65"/>
      <c r="D662" s="66"/>
      <c r="E662" s="255"/>
      <c r="F662" s="117"/>
      <c r="G662" s="114"/>
      <c r="H662" s="77"/>
      <c r="I662" s="71"/>
      <c r="J662" s="6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idden="1">
      <c r="A663" s="83"/>
      <c r="B663" s="83"/>
      <c r="C663" s="83"/>
      <c r="D663" s="122"/>
      <c r="E663" s="253"/>
      <c r="F663" s="55"/>
      <c r="G663" s="58"/>
      <c r="H663" s="85"/>
      <c r="I663" s="86"/>
      <c r="J663" s="1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idden="1">
      <c r="A664" s="103"/>
      <c r="B664" s="103"/>
      <c r="C664" s="103"/>
      <c r="D664" s="103"/>
      <c r="E664" s="257"/>
      <c r="F664" s="28" t="s">
        <v>292</v>
      </c>
      <c r="G664" s="91">
        <f>SUM(G659:G663)</f>
        <v>0</v>
      </c>
      <c r="H664" s="92"/>
      <c r="I664" s="93"/>
      <c r="J664" s="9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idden="1">
      <c r="A665" s="104">
        <v>110.0</v>
      </c>
      <c r="B665" s="165"/>
      <c r="C665" s="109"/>
      <c r="D665" s="104"/>
      <c r="E665" s="255"/>
      <c r="F665" s="117"/>
      <c r="G665" s="114"/>
      <c r="H665" s="59"/>
      <c r="I665" s="61"/>
      <c r="J665" s="6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idden="1">
      <c r="A666" s="65"/>
      <c r="B666" s="65"/>
      <c r="C666" s="65"/>
      <c r="D666" s="66"/>
      <c r="E666" s="255"/>
      <c r="F666" s="117"/>
      <c r="G666" s="114"/>
      <c r="H666" s="68"/>
      <c r="I666" s="71"/>
      <c r="J666" s="7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idden="1">
      <c r="A667" s="65"/>
      <c r="B667" s="65"/>
      <c r="C667" s="65"/>
      <c r="D667" s="66"/>
      <c r="E667" s="255"/>
      <c r="F667" s="117"/>
      <c r="G667" s="114"/>
      <c r="H667" s="77"/>
      <c r="I667" s="71"/>
      <c r="J667" s="7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idden="1">
      <c r="A668" s="65"/>
      <c r="B668" s="65"/>
      <c r="C668" s="65"/>
      <c r="D668" s="66"/>
      <c r="E668" s="253"/>
      <c r="F668" s="55"/>
      <c r="G668" s="58"/>
      <c r="H668" s="77"/>
      <c r="I668" s="71"/>
      <c r="J668" s="7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idden="1">
      <c r="A669" s="65"/>
      <c r="B669" s="83"/>
      <c r="C669" s="65"/>
      <c r="D669" s="66"/>
      <c r="E669" s="253"/>
      <c r="F669" s="55"/>
      <c r="G669" s="58"/>
      <c r="H669" s="85"/>
      <c r="I669" s="86"/>
      <c r="J669" s="8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idden="1">
      <c r="A670" s="103"/>
      <c r="B670" s="103"/>
      <c r="C670" s="103"/>
      <c r="D670" s="103"/>
      <c r="E670" s="257"/>
      <c r="F670" s="28" t="s">
        <v>292</v>
      </c>
      <c r="G670" s="91">
        <f>SUM(G665:G669)</f>
        <v>0</v>
      </c>
      <c r="H670" s="92"/>
      <c r="I670" s="93"/>
      <c r="J670" s="10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idden="1">
      <c r="A671" s="104">
        <v>111.0</v>
      </c>
      <c r="B671" s="109"/>
      <c r="C671" s="109"/>
      <c r="D671" s="104"/>
      <c r="E671" s="255"/>
      <c r="F671" s="117"/>
      <c r="G671" s="114"/>
      <c r="H671" s="59"/>
      <c r="I671" s="61"/>
      <c r="J671" s="6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idden="1">
      <c r="A672" s="65"/>
      <c r="B672" s="65"/>
      <c r="C672" s="65"/>
      <c r="D672" s="66"/>
      <c r="E672" s="255"/>
      <c r="F672" s="117"/>
      <c r="G672" s="114"/>
      <c r="H672" s="68"/>
      <c r="I672" s="71"/>
      <c r="J672" s="7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idden="1">
      <c r="A673" s="65"/>
      <c r="B673" s="65"/>
      <c r="C673" s="65"/>
      <c r="D673" s="66"/>
      <c r="E673" s="255"/>
      <c r="F673" s="117"/>
      <c r="G673" s="114"/>
      <c r="H673" s="77"/>
      <c r="I673" s="71"/>
      <c r="J673" s="7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idden="1">
      <c r="A674" s="65"/>
      <c r="B674" s="65"/>
      <c r="C674" s="65"/>
      <c r="D674" s="66"/>
      <c r="E674" s="253"/>
      <c r="F674" s="55"/>
      <c r="G674" s="58"/>
      <c r="H674" s="77"/>
      <c r="I674" s="71"/>
      <c r="J674" s="7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idden="1">
      <c r="A675" s="65"/>
      <c r="B675" s="83"/>
      <c r="C675" s="65"/>
      <c r="D675" s="66"/>
      <c r="E675" s="253"/>
      <c r="F675" s="55"/>
      <c r="G675" s="58"/>
      <c r="H675" s="85"/>
      <c r="I675" s="86"/>
      <c r="J675" s="8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idden="1">
      <c r="A676" s="102"/>
      <c r="B676" s="89"/>
      <c r="C676" s="89"/>
      <c r="D676" s="89"/>
      <c r="E676" s="254"/>
      <c r="F676" s="28" t="s">
        <v>292</v>
      </c>
      <c r="G676" s="91">
        <f>SUM(G671:G675)</f>
        <v>0</v>
      </c>
      <c r="H676" s="92"/>
      <c r="I676" s="89"/>
      <c r="J676" s="9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idden="1">
      <c r="A677" s="104">
        <v>112.0</v>
      </c>
      <c r="B677" s="109"/>
      <c r="C677" s="109"/>
      <c r="D677" s="104"/>
      <c r="E677" s="255"/>
      <c r="F677" s="117"/>
      <c r="G677" s="114"/>
      <c r="H677" s="59"/>
      <c r="I677" s="61"/>
      <c r="J677" s="6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idden="1">
      <c r="A678" s="65"/>
      <c r="B678" s="65"/>
      <c r="C678" s="65"/>
      <c r="D678" s="66"/>
      <c r="E678" s="255"/>
      <c r="F678" s="117"/>
      <c r="G678" s="114"/>
      <c r="H678" s="68"/>
      <c r="I678" s="71"/>
      <c r="J678" s="7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idden="1">
      <c r="A679" s="65"/>
      <c r="B679" s="65"/>
      <c r="C679" s="65"/>
      <c r="D679" s="66"/>
      <c r="E679" s="255"/>
      <c r="F679" s="117"/>
      <c r="G679" s="114"/>
      <c r="H679" s="77"/>
      <c r="I679" s="71"/>
      <c r="J679" s="7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idden="1">
      <c r="A680" s="65"/>
      <c r="B680" s="65"/>
      <c r="C680" s="65"/>
      <c r="D680" s="66"/>
      <c r="E680" s="253"/>
      <c r="F680" s="55"/>
      <c r="G680" s="58"/>
      <c r="H680" s="77"/>
      <c r="I680" s="71"/>
      <c r="J680" s="7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idden="1">
      <c r="A681" s="65"/>
      <c r="B681" s="83"/>
      <c r="C681" s="65"/>
      <c r="D681" s="66"/>
      <c r="E681" s="253"/>
      <c r="F681" s="55"/>
      <c r="G681" s="58"/>
      <c r="H681" s="85"/>
      <c r="I681" s="86"/>
      <c r="J681" s="8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idden="1">
      <c r="A682" s="102"/>
      <c r="B682" s="89"/>
      <c r="C682" s="89"/>
      <c r="D682" s="89"/>
      <c r="E682" s="254"/>
      <c r="F682" s="28" t="s">
        <v>292</v>
      </c>
      <c r="G682" s="91">
        <f>SUM(G677:G681)</f>
        <v>0</v>
      </c>
      <c r="H682" s="92"/>
      <c r="I682" s="89"/>
      <c r="J682" s="9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idden="1">
      <c r="A683" s="104">
        <v>113.0</v>
      </c>
      <c r="B683" s="165"/>
      <c r="C683" s="109"/>
      <c r="D683" s="104"/>
      <c r="E683" s="255"/>
      <c r="F683" s="117"/>
      <c r="G683" s="114"/>
      <c r="H683" s="59"/>
      <c r="I683" s="61"/>
      <c r="J683" s="6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idden="1">
      <c r="A684" s="65"/>
      <c r="B684" s="65"/>
      <c r="C684" s="65"/>
      <c r="D684" s="66"/>
      <c r="E684" s="255"/>
      <c r="F684" s="117"/>
      <c r="G684" s="114"/>
      <c r="H684" s="68"/>
      <c r="I684" s="71"/>
      <c r="J684" s="7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idden="1">
      <c r="A685" s="65"/>
      <c r="B685" s="65"/>
      <c r="C685" s="65"/>
      <c r="D685" s="66"/>
      <c r="E685" s="255"/>
      <c r="F685" s="117"/>
      <c r="G685" s="114"/>
      <c r="H685" s="77"/>
      <c r="I685" s="71"/>
      <c r="J685" s="7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idden="1">
      <c r="A686" s="65"/>
      <c r="B686" s="65"/>
      <c r="C686" s="65"/>
      <c r="D686" s="66"/>
      <c r="E686" s="253"/>
      <c r="F686" s="55"/>
      <c r="G686" s="58"/>
      <c r="H686" s="77"/>
      <c r="I686" s="71"/>
      <c r="J686" s="7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idden="1">
      <c r="A687" s="65"/>
      <c r="B687" s="83"/>
      <c r="C687" s="65"/>
      <c r="D687" s="66"/>
      <c r="E687" s="253"/>
      <c r="F687" s="55"/>
      <c r="G687" s="58"/>
      <c r="H687" s="85"/>
      <c r="I687" s="86"/>
      <c r="J687" s="8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idden="1">
      <c r="A688" s="102"/>
      <c r="B688" s="89"/>
      <c r="C688" s="89"/>
      <c r="D688" s="89"/>
      <c r="E688" s="254"/>
      <c r="F688" s="28" t="s">
        <v>292</v>
      </c>
      <c r="G688" s="91">
        <f>SUM(G683:G687)</f>
        <v>0</v>
      </c>
      <c r="H688" s="92"/>
      <c r="I688" s="89"/>
      <c r="J688" s="9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idden="1">
      <c r="A689" s="104">
        <v>114.0</v>
      </c>
      <c r="B689" s="109"/>
      <c r="C689" s="109"/>
      <c r="D689" s="104"/>
      <c r="E689" s="255"/>
      <c r="F689" s="55"/>
      <c r="G689" s="58"/>
      <c r="H689" s="59"/>
      <c r="I689" s="61"/>
      <c r="J689" s="6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idden="1">
      <c r="A690" s="65"/>
      <c r="B690" s="65"/>
      <c r="C690" s="65"/>
      <c r="D690" s="66"/>
      <c r="E690" s="255"/>
      <c r="F690" s="55"/>
      <c r="G690" s="58"/>
      <c r="H690" s="68"/>
      <c r="I690" s="71"/>
      <c r="J690" s="7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idden="1">
      <c r="A691" s="65"/>
      <c r="B691" s="65"/>
      <c r="C691" s="65"/>
      <c r="D691" s="66"/>
      <c r="E691" s="255"/>
      <c r="F691" s="55"/>
      <c r="G691" s="58"/>
      <c r="H691" s="77"/>
      <c r="I691" s="71"/>
      <c r="J691" s="7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idden="1">
      <c r="A692" s="65"/>
      <c r="B692" s="65"/>
      <c r="C692" s="65"/>
      <c r="D692" s="66"/>
      <c r="E692" s="253"/>
      <c r="F692" s="55"/>
      <c r="G692" s="58"/>
      <c r="H692" s="77"/>
      <c r="I692" s="71"/>
      <c r="J692" s="7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idden="1">
      <c r="A693" s="65"/>
      <c r="B693" s="83"/>
      <c r="C693" s="65"/>
      <c r="D693" s="66"/>
      <c r="E693" s="253"/>
      <c r="F693" s="55"/>
      <c r="G693" s="58"/>
      <c r="H693" s="85"/>
      <c r="I693" s="86"/>
      <c r="J693" s="8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idden="1">
      <c r="A694" s="102"/>
      <c r="B694" s="89"/>
      <c r="C694" s="89"/>
      <c r="D694" s="89"/>
      <c r="E694" s="254"/>
      <c r="F694" s="28" t="s">
        <v>292</v>
      </c>
      <c r="G694" s="91">
        <f>SUM(G689:G693)</f>
        <v>0</v>
      </c>
      <c r="H694" s="92"/>
      <c r="I694" s="89"/>
      <c r="J694" s="9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idden="1">
      <c r="A695" s="104">
        <v>115.0</v>
      </c>
      <c r="B695" s="109"/>
      <c r="C695" s="109"/>
      <c r="D695" s="104"/>
      <c r="E695" s="255"/>
      <c r="F695" s="117"/>
      <c r="G695" s="114"/>
      <c r="H695" s="59"/>
      <c r="I695" s="61"/>
      <c r="J695" s="6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idden="1">
      <c r="A696" s="65"/>
      <c r="B696" s="65"/>
      <c r="C696" s="65"/>
      <c r="D696" s="66"/>
      <c r="E696" s="255"/>
      <c r="F696" s="117"/>
      <c r="G696" s="114"/>
      <c r="H696" s="68"/>
      <c r="I696" s="71"/>
      <c r="J696" s="7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idden="1">
      <c r="A697" s="65"/>
      <c r="B697" s="65"/>
      <c r="C697" s="65"/>
      <c r="D697" s="66"/>
      <c r="E697" s="255"/>
      <c r="F697" s="117"/>
      <c r="G697" s="114"/>
      <c r="H697" s="77"/>
      <c r="I697" s="71"/>
      <c r="J697" s="7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idden="1">
      <c r="A698" s="65"/>
      <c r="B698" s="65"/>
      <c r="C698" s="65"/>
      <c r="D698" s="66"/>
      <c r="E698" s="253"/>
      <c r="F698" s="55"/>
      <c r="G698" s="58"/>
      <c r="H698" s="77"/>
      <c r="I698" s="71"/>
      <c r="J698" s="7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idden="1">
      <c r="A699" s="65"/>
      <c r="B699" s="83"/>
      <c r="C699" s="65"/>
      <c r="D699" s="66"/>
      <c r="E699" s="253"/>
      <c r="F699" s="55"/>
      <c r="G699" s="58"/>
      <c r="H699" s="85"/>
      <c r="I699" s="86"/>
      <c r="J699" s="8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idden="1">
      <c r="A700" s="102"/>
      <c r="B700" s="89"/>
      <c r="C700" s="89"/>
      <c r="D700" s="89"/>
      <c r="E700" s="254"/>
      <c r="F700" s="28" t="s">
        <v>292</v>
      </c>
      <c r="G700" s="91">
        <f>SUM(G695:G699)</f>
        <v>0</v>
      </c>
      <c r="H700" s="92"/>
      <c r="I700" s="89"/>
      <c r="J700" s="9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idden="1">
      <c r="A701" s="104">
        <v>116.0</v>
      </c>
      <c r="B701" s="109"/>
      <c r="C701" s="109"/>
      <c r="D701" s="104"/>
      <c r="E701" s="255"/>
      <c r="F701" s="55"/>
      <c r="G701" s="58"/>
      <c r="H701" s="59"/>
      <c r="I701" s="61"/>
      <c r="J701" s="6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idden="1">
      <c r="A702" s="65"/>
      <c r="B702" s="65"/>
      <c r="C702" s="65"/>
      <c r="D702" s="66"/>
      <c r="E702" s="255"/>
      <c r="F702" s="55"/>
      <c r="G702" s="58"/>
      <c r="H702" s="68"/>
      <c r="I702" s="71"/>
      <c r="J702" s="7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idden="1">
      <c r="A703" s="65"/>
      <c r="B703" s="65"/>
      <c r="C703" s="65"/>
      <c r="D703" s="66"/>
      <c r="E703" s="255"/>
      <c r="F703" s="55"/>
      <c r="G703" s="58"/>
      <c r="H703" s="77"/>
      <c r="I703" s="71"/>
      <c r="J703" s="7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idden="1">
      <c r="A704" s="65"/>
      <c r="B704" s="65"/>
      <c r="C704" s="65"/>
      <c r="D704" s="66"/>
      <c r="E704" s="253"/>
      <c r="F704" s="55"/>
      <c r="G704" s="58"/>
      <c r="H704" s="77"/>
      <c r="I704" s="71"/>
      <c r="J704" s="7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idden="1">
      <c r="A705" s="65"/>
      <c r="B705" s="83"/>
      <c r="C705" s="65"/>
      <c r="D705" s="66"/>
      <c r="E705" s="253"/>
      <c r="F705" s="55"/>
      <c r="G705" s="58"/>
      <c r="H705" s="85"/>
      <c r="I705" s="86"/>
      <c r="J705" s="8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idden="1">
      <c r="A706" s="102"/>
      <c r="B706" s="89"/>
      <c r="C706" s="89"/>
      <c r="D706" s="89"/>
      <c r="E706" s="254"/>
      <c r="F706" s="28" t="s">
        <v>292</v>
      </c>
      <c r="G706" s="91">
        <f>SUM(G701:G705)</f>
        <v>0</v>
      </c>
      <c r="H706" s="92"/>
      <c r="I706" s="89"/>
      <c r="J706" s="9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idden="1">
      <c r="A707" s="104">
        <v>117.0</v>
      </c>
      <c r="B707" s="109"/>
      <c r="C707" s="109"/>
      <c r="D707" s="104"/>
      <c r="E707" s="255"/>
      <c r="F707" s="117"/>
      <c r="G707" s="114"/>
      <c r="H707" s="59"/>
      <c r="I707" s="61"/>
      <c r="J707" s="6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idden="1">
      <c r="A708" s="65"/>
      <c r="B708" s="65"/>
      <c r="C708" s="65"/>
      <c r="D708" s="66"/>
      <c r="E708" s="255"/>
      <c r="F708" s="117"/>
      <c r="G708" s="114"/>
      <c r="H708" s="68"/>
      <c r="I708" s="71"/>
      <c r="J708" s="7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idden="1">
      <c r="A709" s="65"/>
      <c r="B709" s="65"/>
      <c r="C709" s="65"/>
      <c r="D709" s="66"/>
      <c r="E709" s="255"/>
      <c r="F709" s="117"/>
      <c r="G709" s="114"/>
      <c r="H709" s="77"/>
      <c r="I709" s="71"/>
      <c r="J709" s="7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idden="1">
      <c r="A710" s="65"/>
      <c r="B710" s="65"/>
      <c r="C710" s="65"/>
      <c r="D710" s="66"/>
      <c r="E710" s="253"/>
      <c r="F710" s="55"/>
      <c r="G710" s="58"/>
      <c r="H710" s="77"/>
      <c r="I710" s="71"/>
      <c r="J710" s="7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idden="1">
      <c r="A711" s="65"/>
      <c r="B711" s="83"/>
      <c r="C711" s="65"/>
      <c r="D711" s="66"/>
      <c r="E711" s="253"/>
      <c r="F711" s="55"/>
      <c r="G711" s="58"/>
      <c r="H711" s="85"/>
      <c r="I711" s="86"/>
      <c r="J711" s="8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idden="1">
      <c r="A712" s="102"/>
      <c r="B712" s="89"/>
      <c r="C712" s="89"/>
      <c r="D712" s="89"/>
      <c r="E712" s="254"/>
      <c r="F712" s="28" t="s">
        <v>292</v>
      </c>
      <c r="G712" s="91">
        <f>SUM(G707:G711)</f>
        <v>0</v>
      </c>
      <c r="H712" s="92"/>
      <c r="I712" s="89"/>
      <c r="J712" s="9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idden="1">
      <c r="A713" s="104">
        <v>118.0</v>
      </c>
      <c r="B713" s="109"/>
      <c r="C713" s="109"/>
      <c r="D713" s="104"/>
      <c r="E713" s="255"/>
      <c r="F713" s="117"/>
      <c r="G713" s="114"/>
      <c r="H713" s="59"/>
      <c r="I713" s="61"/>
      <c r="J713" s="6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idden="1">
      <c r="A714" s="65"/>
      <c r="B714" s="65"/>
      <c r="C714" s="65"/>
      <c r="D714" s="66"/>
      <c r="E714" s="255"/>
      <c r="F714" s="117"/>
      <c r="G714" s="114"/>
      <c r="H714" s="68"/>
      <c r="I714" s="71"/>
      <c r="J714" s="7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idden="1">
      <c r="A715" s="65"/>
      <c r="B715" s="65"/>
      <c r="C715" s="65"/>
      <c r="D715" s="66"/>
      <c r="E715" s="255"/>
      <c r="F715" s="117"/>
      <c r="G715" s="114"/>
      <c r="H715" s="77"/>
      <c r="I715" s="71"/>
      <c r="J715" s="7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idden="1">
      <c r="A716" s="65"/>
      <c r="B716" s="65"/>
      <c r="C716" s="65"/>
      <c r="D716" s="66"/>
      <c r="E716" s="253"/>
      <c r="F716" s="55"/>
      <c r="G716" s="58"/>
      <c r="H716" s="77"/>
      <c r="I716" s="71"/>
      <c r="J716" s="7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idden="1">
      <c r="A717" s="65"/>
      <c r="B717" s="83"/>
      <c r="C717" s="65"/>
      <c r="D717" s="66"/>
      <c r="E717" s="253"/>
      <c r="F717" s="55"/>
      <c r="G717" s="58"/>
      <c r="H717" s="85"/>
      <c r="I717" s="86"/>
      <c r="J717" s="8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idden="1">
      <c r="A718" s="102"/>
      <c r="B718" s="89"/>
      <c r="C718" s="89"/>
      <c r="D718" s="89"/>
      <c r="E718" s="254"/>
      <c r="F718" s="28" t="s">
        <v>292</v>
      </c>
      <c r="G718" s="91">
        <f>G713+G714+G715+G716+G717</f>
        <v>0</v>
      </c>
      <c r="H718" s="92"/>
      <c r="I718" s="89"/>
      <c r="J718" s="9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idden="1">
      <c r="A719" s="104">
        <v>119.0</v>
      </c>
      <c r="B719" s="109"/>
      <c r="C719" s="109"/>
      <c r="D719" s="104"/>
      <c r="E719" s="255"/>
      <c r="F719" s="117"/>
      <c r="G719" s="114"/>
      <c r="H719" s="59"/>
      <c r="I719" s="61"/>
      <c r="J719" s="6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idden="1">
      <c r="A720" s="65"/>
      <c r="B720" s="65"/>
      <c r="C720" s="65"/>
      <c r="D720" s="66"/>
      <c r="E720" s="255"/>
      <c r="F720" s="117"/>
      <c r="G720" s="114"/>
      <c r="H720" s="68"/>
      <c r="I720" s="71"/>
      <c r="J720" s="7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idden="1">
      <c r="A721" s="65"/>
      <c r="B721" s="65"/>
      <c r="C721" s="65"/>
      <c r="D721" s="66"/>
      <c r="E721" s="255"/>
      <c r="F721" s="117"/>
      <c r="G721" s="114"/>
      <c r="H721" s="77"/>
      <c r="I721" s="71"/>
      <c r="J721" s="7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idden="1">
      <c r="A722" s="65"/>
      <c r="B722" s="65"/>
      <c r="C722" s="65"/>
      <c r="D722" s="66"/>
      <c r="E722" s="253"/>
      <c r="F722" s="55"/>
      <c r="G722" s="58"/>
      <c r="H722" s="77"/>
      <c r="I722" s="71"/>
      <c r="J722" s="7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idden="1">
      <c r="A723" s="65"/>
      <c r="B723" s="83"/>
      <c r="C723" s="65"/>
      <c r="D723" s="66"/>
      <c r="E723" s="253"/>
      <c r="F723" s="55"/>
      <c r="G723" s="58"/>
      <c r="H723" s="85"/>
      <c r="I723" s="86"/>
      <c r="J723" s="8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idden="1">
      <c r="A724" s="103"/>
      <c r="B724" s="103"/>
      <c r="C724" s="103"/>
      <c r="D724" s="103"/>
      <c r="E724" s="257"/>
      <c r="F724" s="28" t="s">
        <v>292</v>
      </c>
      <c r="G724" s="91">
        <f>SUM(G719:G723)</f>
        <v>0</v>
      </c>
      <c r="H724" s="92"/>
      <c r="I724" s="93"/>
      <c r="J724" s="10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idden="1">
      <c r="A725" s="104">
        <v>120.0</v>
      </c>
      <c r="B725" s="109"/>
      <c r="C725" s="109"/>
      <c r="D725" s="104"/>
      <c r="E725" s="255"/>
      <c r="F725" s="117"/>
      <c r="G725" s="114"/>
      <c r="H725" s="59"/>
      <c r="I725" s="61"/>
      <c r="J725" s="6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idden="1">
      <c r="A726" s="65"/>
      <c r="B726" s="65"/>
      <c r="C726" s="65"/>
      <c r="D726" s="66"/>
      <c r="E726" s="255"/>
      <c r="F726" s="117"/>
      <c r="G726" s="114"/>
      <c r="H726" s="68"/>
      <c r="I726" s="71"/>
      <c r="J726" s="7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idden="1">
      <c r="A727" s="65"/>
      <c r="B727" s="65"/>
      <c r="C727" s="65"/>
      <c r="D727" s="66"/>
      <c r="E727" s="255"/>
      <c r="F727" s="117"/>
      <c r="G727" s="114"/>
      <c r="H727" s="77"/>
      <c r="I727" s="71"/>
      <c r="J727" s="7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idden="1">
      <c r="A728" s="65"/>
      <c r="B728" s="65"/>
      <c r="C728" s="65"/>
      <c r="D728" s="66"/>
      <c r="E728" s="253"/>
      <c r="F728" s="55"/>
      <c r="G728" s="58"/>
      <c r="H728" s="77"/>
      <c r="I728" s="71"/>
      <c r="J728" s="7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idden="1">
      <c r="A729" s="65"/>
      <c r="B729" s="83"/>
      <c r="C729" s="65"/>
      <c r="D729" s="66"/>
      <c r="E729" s="253"/>
      <c r="F729" s="55"/>
      <c r="G729" s="58"/>
      <c r="H729" s="85"/>
      <c r="I729" s="86"/>
      <c r="J729" s="8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idden="1">
      <c r="A730" s="102"/>
      <c r="B730" s="89"/>
      <c r="C730" s="89"/>
      <c r="D730" s="89"/>
      <c r="E730" s="254"/>
      <c r="F730" s="28" t="s">
        <v>292</v>
      </c>
      <c r="G730" s="91">
        <f>SUM(G725:G729)</f>
        <v>0</v>
      </c>
      <c r="H730" s="92"/>
      <c r="I730" s="89"/>
      <c r="J730" s="9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idden="1">
      <c r="A731" s="104"/>
      <c r="B731" s="109"/>
      <c r="C731" s="109"/>
      <c r="D731" s="104"/>
      <c r="E731" s="255"/>
      <c r="F731" s="40"/>
      <c r="G731" s="277"/>
      <c r="H731" s="59"/>
      <c r="I731" s="61"/>
      <c r="J731" s="6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idden="1">
      <c r="A732" s="65"/>
      <c r="B732" s="65"/>
      <c r="C732" s="65"/>
      <c r="D732" s="66"/>
      <c r="E732" s="255"/>
      <c r="F732" s="40"/>
      <c r="G732" s="277"/>
      <c r="H732" s="77"/>
      <c r="I732" s="71"/>
      <c r="J732" s="7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idden="1">
      <c r="A733" s="65"/>
      <c r="B733" s="65"/>
      <c r="C733" s="65"/>
      <c r="D733" s="66"/>
      <c r="E733" s="255"/>
      <c r="F733" s="55"/>
      <c r="G733" s="58"/>
      <c r="H733" s="77"/>
      <c r="I733" s="71"/>
      <c r="J733" s="7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idden="1">
      <c r="A734" s="65"/>
      <c r="B734" s="65"/>
      <c r="C734" s="65"/>
      <c r="D734" s="66"/>
      <c r="E734" s="253"/>
      <c r="F734" s="55"/>
      <c r="G734" s="58"/>
      <c r="H734" s="77"/>
      <c r="I734" s="71"/>
      <c r="J734" s="7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idden="1">
      <c r="A735" s="65"/>
      <c r="B735" s="83"/>
      <c r="C735" s="65"/>
      <c r="D735" s="66"/>
      <c r="E735" s="253"/>
      <c r="F735" s="55"/>
      <c r="G735" s="58"/>
      <c r="H735" s="85"/>
      <c r="I735" s="86"/>
      <c r="J735" s="8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idden="1">
      <c r="A736" s="102"/>
      <c r="B736" s="89"/>
      <c r="C736" s="89"/>
      <c r="D736" s="89"/>
      <c r="E736" s="254"/>
      <c r="F736" s="28" t="s">
        <v>292</v>
      </c>
      <c r="G736" s="91">
        <f>SUM(G731:G735)</f>
        <v>0</v>
      </c>
      <c r="H736" s="92"/>
      <c r="I736" s="89"/>
      <c r="J736" s="9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idden="1">
      <c r="A737" s="104"/>
      <c r="B737" s="109"/>
      <c r="C737" s="109"/>
      <c r="D737" s="104"/>
      <c r="E737" s="255"/>
      <c r="F737" s="40"/>
      <c r="G737" s="277"/>
      <c r="H737" s="59"/>
      <c r="I737" s="61"/>
      <c r="J737" s="6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idden="1">
      <c r="A738" s="65"/>
      <c r="B738" s="65"/>
      <c r="C738" s="65"/>
      <c r="D738" s="66"/>
      <c r="E738" s="255"/>
      <c r="F738" s="40"/>
      <c r="G738" s="277"/>
      <c r="H738" s="77"/>
      <c r="I738" s="71"/>
      <c r="J738" s="7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idden="1">
      <c r="A739" s="65"/>
      <c r="B739" s="65"/>
      <c r="C739" s="65"/>
      <c r="D739" s="66"/>
      <c r="E739" s="255"/>
      <c r="F739" s="55"/>
      <c r="G739" s="58"/>
      <c r="H739" s="77"/>
      <c r="I739" s="71"/>
      <c r="J739" s="7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idden="1">
      <c r="A740" s="65"/>
      <c r="B740" s="65"/>
      <c r="C740" s="65"/>
      <c r="D740" s="66"/>
      <c r="E740" s="253"/>
      <c r="F740" s="55"/>
      <c r="G740" s="58"/>
      <c r="H740" s="77"/>
      <c r="I740" s="71"/>
      <c r="J740" s="7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idden="1">
      <c r="A741" s="65"/>
      <c r="B741" s="83"/>
      <c r="C741" s="65"/>
      <c r="D741" s="66"/>
      <c r="E741" s="253"/>
      <c r="F741" s="55"/>
      <c r="G741" s="58"/>
      <c r="H741" s="85"/>
      <c r="I741" s="86"/>
      <c r="J741" s="8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idden="1">
      <c r="A742" s="102"/>
      <c r="B742" s="89"/>
      <c r="C742" s="89"/>
      <c r="D742" s="89"/>
      <c r="E742" s="254"/>
      <c r="F742" s="28" t="s">
        <v>292</v>
      </c>
      <c r="G742" s="91">
        <f>SUM(G737:G741)</f>
        <v>0</v>
      </c>
      <c r="H742" s="92"/>
      <c r="I742" s="89"/>
      <c r="J742" s="9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idden="1">
      <c r="A743" s="104"/>
      <c r="B743" s="109"/>
      <c r="C743" s="109"/>
      <c r="D743" s="104"/>
      <c r="E743" s="255"/>
      <c r="F743" s="40"/>
      <c r="G743" s="277"/>
      <c r="H743" s="59"/>
      <c r="I743" s="61"/>
      <c r="J743" s="6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idden="1">
      <c r="A744" s="65"/>
      <c r="B744" s="65"/>
      <c r="C744" s="65"/>
      <c r="D744" s="66"/>
      <c r="E744" s="255"/>
      <c r="F744" s="40"/>
      <c r="G744" s="277"/>
      <c r="H744" s="77"/>
      <c r="I744" s="71"/>
      <c r="J744" s="7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idden="1">
      <c r="A745" s="65"/>
      <c r="B745" s="65"/>
      <c r="C745" s="65"/>
      <c r="D745" s="66"/>
      <c r="E745" s="255"/>
      <c r="F745" s="55"/>
      <c r="G745" s="58"/>
      <c r="H745" s="77"/>
      <c r="I745" s="71"/>
      <c r="J745" s="7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idden="1">
      <c r="A746" s="65"/>
      <c r="B746" s="65"/>
      <c r="C746" s="65"/>
      <c r="D746" s="66"/>
      <c r="E746" s="253"/>
      <c r="F746" s="55"/>
      <c r="G746" s="58"/>
      <c r="H746" s="77"/>
      <c r="I746" s="71"/>
      <c r="J746" s="7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idden="1">
      <c r="A747" s="65"/>
      <c r="B747" s="83"/>
      <c r="C747" s="65"/>
      <c r="D747" s="66"/>
      <c r="E747" s="253"/>
      <c r="F747" s="55"/>
      <c r="G747" s="58"/>
      <c r="H747" s="85"/>
      <c r="I747" s="86"/>
      <c r="J747" s="8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idden="1">
      <c r="A748" s="102"/>
      <c r="B748" s="89"/>
      <c r="C748" s="89"/>
      <c r="D748" s="89"/>
      <c r="E748" s="254"/>
      <c r="F748" s="28" t="s">
        <v>292</v>
      </c>
      <c r="G748" s="91">
        <f>SUM(G743:G747)</f>
        <v>0</v>
      </c>
      <c r="H748" s="92"/>
      <c r="I748" s="89"/>
      <c r="J748" s="9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idden="1">
      <c r="A749" s="104"/>
      <c r="B749" s="109"/>
      <c r="C749" s="109"/>
      <c r="D749" s="104"/>
      <c r="E749" s="255"/>
      <c r="F749" s="40"/>
      <c r="G749" s="277"/>
      <c r="H749" s="59"/>
      <c r="I749" s="61"/>
      <c r="J749" s="6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idden="1">
      <c r="A750" s="65"/>
      <c r="B750" s="65"/>
      <c r="C750" s="65"/>
      <c r="D750" s="66"/>
      <c r="E750" s="255"/>
      <c r="F750" s="40"/>
      <c r="G750" s="277"/>
      <c r="H750" s="77"/>
      <c r="I750" s="71"/>
      <c r="J750" s="7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idden="1">
      <c r="A751" s="65"/>
      <c r="B751" s="65"/>
      <c r="C751" s="65"/>
      <c r="D751" s="66"/>
      <c r="E751" s="255"/>
      <c r="F751" s="55"/>
      <c r="G751" s="58"/>
      <c r="H751" s="77"/>
      <c r="I751" s="71"/>
      <c r="J751" s="7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idden="1">
      <c r="A752" s="65"/>
      <c r="B752" s="65"/>
      <c r="C752" s="65"/>
      <c r="D752" s="66"/>
      <c r="E752" s="253"/>
      <c r="F752" s="55"/>
      <c r="G752" s="58"/>
      <c r="H752" s="77"/>
      <c r="I752" s="71"/>
      <c r="J752" s="7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idden="1">
      <c r="A753" s="65"/>
      <c r="B753" s="83"/>
      <c r="C753" s="65"/>
      <c r="D753" s="66"/>
      <c r="E753" s="253"/>
      <c r="F753" s="55"/>
      <c r="G753" s="58"/>
      <c r="H753" s="85"/>
      <c r="I753" s="86"/>
      <c r="J753" s="8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idden="1">
      <c r="A754" s="102"/>
      <c r="B754" s="89"/>
      <c r="C754" s="89"/>
      <c r="D754" s="89"/>
      <c r="E754" s="254"/>
      <c r="F754" s="28" t="s">
        <v>292</v>
      </c>
      <c r="G754" s="91">
        <f>SUM(G749:G753)</f>
        <v>0</v>
      </c>
      <c r="H754" s="92"/>
      <c r="I754" s="89"/>
      <c r="J754" s="9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idden="1">
      <c r="A755" s="104"/>
      <c r="B755" s="109"/>
      <c r="C755" s="109"/>
      <c r="D755" s="104"/>
      <c r="E755" s="255"/>
      <c r="F755" s="40"/>
      <c r="G755" s="277"/>
      <c r="H755" s="59"/>
      <c r="I755" s="61"/>
      <c r="J755" s="6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idden="1">
      <c r="A756" s="65"/>
      <c r="B756" s="65"/>
      <c r="C756" s="65"/>
      <c r="D756" s="66"/>
      <c r="E756" s="255"/>
      <c r="F756" s="40"/>
      <c r="G756" s="277"/>
      <c r="H756" s="77"/>
      <c r="I756" s="71"/>
      <c r="J756" s="7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idden="1">
      <c r="A757" s="65"/>
      <c r="B757" s="65"/>
      <c r="C757" s="65"/>
      <c r="D757" s="66"/>
      <c r="E757" s="255"/>
      <c r="F757" s="55"/>
      <c r="G757" s="58"/>
      <c r="H757" s="77"/>
      <c r="I757" s="71"/>
      <c r="J757" s="7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idden="1">
      <c r="A758" s="65"/>
      <c r="B758" s="65"/>
      <c r="C758" s="65"/>
      <c r="D758" s="66"/>
      <c r="E758" s="253"/>
      <c r="F758" s="55"/>
      <c r="G758" s="58"/>
      <c r="H758" s="77"/>
      <c r="I758" s="71"/>
      <c r="J758" s="7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idden="1">
      <c r="A759" s="65"/>
      <c r="B759" s="83"/>
      <c r="C759" s="65"/>
      <c r="D759" s="66"/>
      <c r="E759" s="253"/>
      <c r="F759" s="55"/>
      <c r="G759" s="58"/>
      <c r="H759" s="85"/>
      <c r="I759" s="86"/>
      <c r="J759" s="8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idden="1">
      <c r="A760" s="102"/>
      <c r="B760" s="89"/>
      <c r="C760" s="89"/>
      <c r="D760" s="89"/>
      <c r="E760" s="254"/>
      <c r="F760" s="28" t="s">
        <v>292</v>
      </c>
      <c r="G760" s="91">
        <f>SUM(G755:G759)</f>
        <v>0</v>
      </c>
      <c r="H760" s="92"/>
      <c r="I760" s="89"/>
      <c r="J760" s="9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idden="1">
      <c r="A761" s="104"/>
      <c r="B761" s="109"/>
      <c r="C761" s="109"/>
      <c r="D761" s="104"/>
      <c r="E761" s="255"/>
      <c r="F761" s="40"/>
      <c r="G761" s="277"/>
      <c r="H761" s="59"/>
      <c r="I761" s="61"/>
      <c r="J761" s="6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idden="1">
      <c r="A762" s="65"/>
      <c r="B762" s="65"/>
      <c r="C762" s="65"/>
      <c r="D762" s="66"/>
      <c r="E762" s="255"/>
      <c r="F762" s="40"/>
      <c r="G762" s="277"/>
      <c r="H762" s="77"/>
      <c r="I762" s="71"/>
      <c r="J762" s="7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idden="1">
      <c r="A763" s="65"/>
      <c r="B763" s="65"/>
      <c r="C763" s="65"/>
      <c r="D763" s="66"/>
      <c r="E763" s="255"/>
      <c r="F763" s="55"/>
      <c r="G763" s="58"/>
      <c r="H763" s="77"/>
      <c r="I763" s="71"/>
      <c r="J763" s="7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idden="1">
      <c r="A764" s="65"/>
      <c r="B764" s="65"/>
      <c r="C764" s="65"/>
      <c r="D764" s="66"/>
      <c r="E764" s="253"/>
      <c r="F764" s="55"/>
      <c r="G764" s="58"/>
      <c r="H764" s="77"/>
      <c r="I764" s="71"/>
      <c r="J764" s="7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idden="1">
      <c r="A765" s="65"/>
      <c r="B765" s="83"/>
      <c r="C765" s="65"/>
      <c r="D765" s="66"/>
      <c r="E765" s="253"/>
      <c r="F765" s="55"/>
      <c r="G765" s="58"/>
      <c r="H765" s="85"/>
      <c r="I765" s="86"/>
      <c r="J765" s="8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idden="1">
      <c r="A766" s="102"/>
      <c r="B766" s="89"/>
      <c r="C766" s="89"/>
      <c r="D766" s="89"/>
      <c r="E766" s="254"/>
      <c r="F766" s="28" t="s">
        <v>292</v>
      </c>
      <c r="G766" s="91">
        <f>SUM(G761:G765)</f>
        <v>0</v>
      </c>
      <c r="H766" s="92"/>
      <c r="I766" s="89"/>
      <c r="J766" s="9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idden="1">
      <c r="A767" s="104"/>
      <c r="B767" s="109"/>
      <c r="C767" s="109"/>
      <c r="D767" s="104"/>
      <c r="E767" s="255"/>
      <c r="F767" s="40"/>
      <c r="G767" s="277"/>
      <c r="H767" s="59"/>
      <c r="I767" s="61"/>
      <c r="J767" s="6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idden="1">
      <c r="A768" s="65"/>
      <c r="B768" s="65"/>
      <c r="C768" s="65"/>
      <c r="D768" s="66"/>
      <c r="E768" s="255"/>
      <c r="F768" s="40"/>
      <c r="G768" s="277"/>
      <c r="H768" s="77"/>
      <c r="I768" s="71"/>
      <c r="J768" s="7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idden="1">
      <c r="A769" s="65"/>
      <c r="B769" s="65"/>
      <c r="C769" s="65"/>
      <c r="D769" s="66"/>
      <c r="E769" s="255"/>
      <c r="F769" s="55"/>
      <c r="G769" s="58"/>
      <c r="H769" s="77"/>
      <c r="I769" s="71"/>
      <c r="J769" s="7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idden="1">
      <c r="A770" s="65"/>
      <c r="B770" s="65"/>
      <c r="C770" s="65"/>
      <c r="D770" s="66"/>
      <c r="E770" s="253"/>
      <c r="F770" s="55"/>
      <c r="G770" s="58"/>
      <c r="H770" s="77"/>
      <c r="I770" s="71"/>
      <c r="J770" s="7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idden="1">
      <c r="A771" s="65"/>
      <c r="B771" s="83"/>
      <c r="C771" s="65"/>
      <c r="D771" s="66"/>
      <c r="E771" s="253"/>
      <c r="F771" s="55"/>
      <c r="G771" s="58"/>
      <c r="H771" s="85"/>
      <c r="I771" s="86"/>
      <c r="J771" s="8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idden="1">
      <c r="A772" s="102"/>
      <c r="B772" s="89"/>
      <c r="C772" s="89"/>
      <c r="D772" s="89"/>
      <c r="E772" s="254"/>
      <c r="F772" s="28" t="s">
        <v>292</v>
      </c>
      <c r="G772" s="91">
        <f>SUM(G767:G771)</f>
        <v>0</v>
      </c>
      <c r="H772" s="92"/>
      <c r="I772" s="89"/>
      <c r="J772" s="9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idden="1">
      <c r="A773" s="104"/>
      <c r="B773" s="109"/>
      <c r="C773" s="109"/>
      <c r="D773" s="104"/>
      <c r="E773" s="255"/>
      <c r="F773" s="40"/>
      <c r="G773" s="277"/>
      <c r="H773" s="59"/>
      <c r="I773" s="61"/>
      <c r="J773" s="6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idden="1">
      <c r="A774" s="65"/>
      <c r="B774" s="65"/>
      <c r="C774" s="65"/>
      <c r="D774" s="66"/>
      <c r="E774" s="255"/>
      <c r="F774" s="40"/>
      <c r="G774" s="277"/>
      <c r="H774" s="77"/>
      <c r="I774" s="71"/>
      <c r="J774" s="7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idden="1">
      <c r="A775" s="65"/>
      <c r="B775" s="65"/>
      <c r="C775" s="65"/>
      <c r="D775" s="66"/>
      <c r="E775" s="255"/>
      <c r="F775" s="55"/>
      <c r="G775" s="58"/>
      <c r="H775" s="77"/>
      <c r="I775" s="71"/>
      <c r="J775" s="7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idden="1">
      <c r="A776" s="65"/>
      <c r="B776" s="65"/>
      <c r="C776" s="65"/>
      <c r="D776" s="66"/>
      <c r="E776" s="253"/>
      <c r="F776" s="55"/>
      <c r="G776" s="58"/>
      <c r="H776" s="77"/>
      <c r="I776" s="71"/>
      <c r="J776" s="7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idden="1">
      <c r="A777" s="65"/>
      <c r="B777" s="83"/>
      <c r="C777" s="65"/>
      <c r="D777" s="66"/>
      <c r="E777" s="253"/>
      <c r="F777" s="55"/>
      <c r="G777" s="58"/>
      <c r="H777" s="85"/>
      <c r="I777" s="86"/>
      <c r="J777" s="8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idden="1">
      <c r="A778" s="102"/>
      <c r="B778" s="89"/>
      <c r="C778" s="89"/>
      <c r="D778" s="89"/>
      <c r="E778" s="254"/>
      <c r="F778" s="28" t="s">
        <v>292</v>
      </c>
      <c r="G778" s="91">
        <f>SUM(G773:G777)</f>
        <v>0</v>
      </c>
      <c r="H778" s="92"/>
      <c r="I778" s="89"/>
      <c r="J778" s="9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idden="1">
      <c r="A779" s="104"/>
      <c r="B779" s="109"/>
      <c r="C779" s="109"/>
      <c r="D779" s="104"/>
      <c r="E779" s="255"/>
      <c r="F779" s="40"/>
      <c r="G779" s="277"/>
      <c r="H779" s="59"/>
      <c r="I779" s="61"/>
      <c r="J779" s="6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idden="1">
      <c r="A780" s="65"/>
      <c r="B780" s="65"/>
      <c r="C780" s="65"/>
      <c r="D780" s="66"/>
      <c r="E780" s="255"/>
      <c r="F780" s="40"/>
      <c r="G780" s="277"/>
      <c r="H780" s="77"/>
      <c r="I780" s="71"/>
      <c r="J780" s="7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idden="1">
      <c r="A781" s="65"/>
      <c r="B781" s="65"/>
      <c r="C781" s="65"/>
      <c r="D781" s="66"/>
      <c r="E781" s="255"/>
      <c r="F781" s="55"/>
      <c r="G781" s="58"/>
      <c r="H781" s="77"/>
      <c r="I781" s="71"/>
      <c r="J781" s="7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idden="1">
      <c r="A782" s="65"/>
      <c r="B782" s="65"/>
      <c r="C782" s="65"/>
      <c r="D782" s="66"/>
      <c r="E782" s="253"/>
      <c r="F782" s="55"/>
      <c r="G782" s="58"/>
      <c r="H782" s="77"/>
      <c r="I782" s="71"/>
      <c r="J782" s="7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idden="1">
      <c r="A783" s="65"/>
      <c r="B783" s="83"/>
      <c r="C783" s="65"/>
      <c r="D783" s="66"/>
      <c r="E783" s="253"/>
      <c r="F783" s="55"/>
      <c r="G783" s="58"/>
      <c r="H783" s="85"/>
      <c r="I783" s="86"/>
      <c r="J783" s="8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idden="1">
      <c r="A784" s="102"/>
      <c r="B784" s="89"/>
      <c r="C784" s="89"/>
      <c r="D784" s="89"/>
      <c r="E784" s="254"/>
      <c r="F784" s="28" t="s">
        <v>292</v>
      </c>
      <c r="G784" s="91">
        <f>SUM(G779:G783)</f>
        <v>0</v>
      </c>
      <c r="H784" s="92"/>
      <c r="I784" s="89"/>
      <c r="J784" s="9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idden="1">
      <c r="A785" s="104"/>
      <c r="B785" s="109"/>
      <c r="C785" s="109"/>
      <c r="D785" s="104"/>
      <c r="E785" s="255"/>
      <c r="F785" s="40"/>
      <c r="G785" s="277"/>
      <c r="H785" s="59"/>
      <c r="I785" s="61"/>
      <c r="J785" s="6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idden="1">
      <c r="A786" s="65"/>
      <c r="B786" s="65"/>
      <c r="C786" s="65"/>
      <c r="D786" s="66"/>
      <c r="E786" s="255"/>
      <c r="F786" s="40"/>
      <c r="G786" s="277"/>
      <c r="H786" s="77"/>
      <c r="I786" s="71"/>
      <c r="J786" s="7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idden="1">
      <c r="A787" s="65"/>
      <c r="B787" s="65"/>
      <c r="C787" s="65"/>
      <c r="D787" s="66"/>
      <c r="E787" s="255"/>
      <c r="F787" s="55"/>
      <c r="G787" s="58"/>
      <c r="H787" s="77"/>
      <c r="I787" s="71"/>
      <c r="J787" s="7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idden="1">
      <c r="A788" s="65"/>
      <c r="B788" s="65"/>
      <c r="C788" s="65"/>
      <c r="D788" s="66"/>
      <c r="E788" s="253"/>
      <c r="F788" s="55"/>
      <c r="G788" s="58"/>
      <c r="H788" s="77"/>
      <c r="I788" s="71"/>
      <c r="J788" s="7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idden="1">
      <c r="A789" s="65"/>
      <c r="B789" s="83"/>
      <c r="C789" s="65"/>
      <c r="D789" s="66"/>
      <c r="E789" s="253"/>
      <c r="F789" s="55"/>
      <c r="G789" s="58"/>
      <c r="H789" s="85"/>
      <c r="I789" s="86"/>
      <c r="J789" s="8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idden="1">
      <c r="A790" s="103"/>
      <c r="B790" s="103"/>
      <c r="C790" s="103"/>
      <c r="D790" s="103"/>
      <c r="E790" s="257"/>
      <c r="F790" s="28" t="s">
        <v>292</v>
      </c>
      <c r="G790" s="91">
        <f>SUM(G785:G789)</f>
        <v>0</v>
      </c>
      <c r="H790" s="92"/>
      <c r="I790" s="93"/>
      <c r="J790" s="10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idden="1">
      <c r="A791" s="104"/>
      <c r="B791" s="109"/>
      <c r="C791" s="109"/>
      <c r="D791" s="104"/>
      <c r="E791" s="255"/>
      <c r="F791" s="40"/>
      <c r="G791" s="277"/>
      <c r="H791" s="59"/>
      <c r="I791" s="61"/>
      <c r="J791" s="6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idden="1">
      <c r="A792" s="65"/>
      <c r="B792" s="65"/>
      <c r="C792" s="65"/>
      <c r="D792" s="66"/>
      <c r="E792" s="255"/>
      <c r="F792" s="40"/>
      <c r="G792" s="277"/>
      <c r="H792" s="77"/>
      <c r="I792" s="71"/>
      <c r="J792" s="7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idden="1">
      <c r="A793" s="65"/>
      <c r="B793" s="65"/>
      <c r="C793" s="65"/>
      <c r="D793" s="66"/>
      <c r="E793" s="255"/>
      <c r="F793" s="55"/>
      <c r="G793" s="58"/>
      <c r="H793" s="77"/>
      <c r="I793" s="71"/>
      <c r="J793" s="7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idden="1">
      <c r="A794" s="65"/>
      <c r="B794" s="65"/>
      <c r="C794" s="65"/>
      <c r="D794" s="66"/>
      <c r="E794" s="253"/>
      <c r="F794" s="55"/>
      <c r="G794" s="58"/>
      <c r="H794" s="77"/>
      <c r="I794" s="71"/>
      <c r="J794" s="7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idden="1">
      <c r="A795" s="65"/>
      <c r="B795" s="83"/>
      <c r="C795" s="65"/>
      <c r="D795" s="66"/>
      <c r="E795" s="253"/>
      <c r="F795" s="55"/>
      <c r="G795" s="58"/>
      <c r="H795" s="85"/>
      <c r="I795" s="86"/>
      <c r="J795" s="8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idden="1">
      <c r="A796" s="102"/>
      <c r="B796" s="89"/>
      <c r="C796" s="89"/>
      <c r="D796" s="89"/>
      <c r="E796" s="254"/>
      <c r="F796" s="28" t="s">
        <v>292</v>
      </c>
      <c r="G796" s="91">
        <f>SUM(G791:G795)</f>
        <v>0</v>
      </c>
      <c r="H796" s="92"/>
      <c r="I796" s="89"/>
      <c r="J796" s="9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idden="1">
      <c r="A797" s="104"/>
      <c r="B797" s="109"/>
      <c r="C797" s="109"/>
      <c r="D797" s="104"/>
      <c r="E797" s="255"/>
      <c r="F797" s="40"/>
      <c r="G797" s="277"/>
      <c r="H797" s="59"/>
      <c r="I797" s="61"/>
      <c r="J797" s="6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idden="1">
      <c r="A798" s="65"/>
      <c r="B798" s="65"/>
      <c r="C798" s="65"/>
      <c r="D798" s="66"/>
      <c r="E798" s="255"/>
      <c r="F798" s="40"/>
      <c r="G798" s="277"/>
      <c r="H798" s="77"/>
      <c r="I798" s="71"/>
      <c r="J798" s="7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idden="1">
      <c r="A799" s="65"/>
      <c r="B799" s="65"/>
      <c r="C799" s="65"/>
      <c r="D799" s="66"/>
      <c r="E799" s="255"/>
      <c r="F799" s="55"/>
      <c r="G799" s="58"/>
      <c r="H799" s="77"/>
      <c r="I799" s="71"/>
      <c r="J799" s="7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idden="1">
      <c r="A800" s="65"/>
      <c r="B800" s="65"/>
      <c r="C800" s="65"/>
      <c r="D800" s="66"/>
      <c r="E800" s="253"/>
      <c r="F800" s="55"/>
      <c r="G800" s="58"/>
      <c r="H800" s="77"/>
      <c r="I800" s="71"/>
      <c r="J800" s="7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idden="1">
      <c r="A801" s="65"/>
      <c r="B801" s="83"/>
      <c r="C801" s="65"/>
      <c r="D801" s="66"/>
      <c r="E801" s="253"/>
      <c r="F801" s="55"/>
      <c r="G801" s="58"/>
      <c r="H801" s="85"/>
      <c r="I801" s="86"/>
      <c r="J801" s="8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idden="1">
      <c r="A802" s="102"/>
      <c r="B802" s="89"/>
      <c r="C802" s="89"/>
      <c r="D802" s="89"/>
      <c r="E802" s="254"/>
      <c r="F802" s="28" t="s">
        <v>292</v>
      </c>
      <c r="G802" s="91">
        <f>SUM(G797:G801)</f>
        <v>0</v>
      </c>
      <c r="H802" s="92"/>
      <c r="I802" s="89"/>
      <c r="J802" s="9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idden="1">
      <c r="A803" s="104"/>
      <c r="B803" s="109"/>
      <c r="C803" s="109"/>
      <c r="D803" s="104"/>
      <c r="E803" s="255"/>
      <c r="F803" s="40"/>
      <c r="G803" s="277"/>
      <c r="H803" s="59"/>
      <c r="I803" s="61"/>
      <c r="J803" s="6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idden="1">
      <c r="A804" s="65"/>
      <c r="B804" s="65"/>
      <c r="C804" s="65"/>
      <c r="D804" s="66"/>
      <c r="E804" s="255"/>
      <c r="F804" s="40"/>
      <c r="G804" s="277"/>
      <c r="H804" s="77"/>
      <c r="I804" s="71"/>
      <c r="J804" s="7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idden="1">
      <c r="A805" s="65"/>
      <c r="B805" s="65"/>
      <c r="C805" s="65"/>
      <c r="D805" s="66"/>
      <c r="E805" s="255"/>
      <c r="F805" s="55"/>
      <c r="G805" s="58"/>
      <c r="H805" s="77"/>
      <c r="I805" s="71"/>
      <c r="J805" s="7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idden="1">
      <c r="A806" s="65"/>
      <c r="B806" s="65"/>
      <c r="C806" s="65"/>
      <c r="D806" s="66"/>
      <c r="E806" s="253"/>
      <c r="F806" s="55"/>
      <c r="G806" s="58"/>
      <c r="H806" s="77"/>
      <c r="I806" s="71"/>
      <c r="J806" s="7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idden="1">
      <c r="A807" s="65"/>
      <c r="B807" s="83"/>
      <c r="C807" s="65"/>
      <c r="D807" s="66"/>
      <c r="E807" s="253"/>
      <c r="F807" s="55"/>
      <c r="G807" s="58"/>
      <c r="H807" s="85"/>
      <c r="I807" s="86"/>
      <c r="J807" s="8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idden="1">
      <c r="A808" s="102"/>
      <c r="B808" s="89"/>
      <c r="C808" s="89"/>
      <c r="D808" s="89"/>
      <c r="E808" s="254"/>
      <c r="F808" s="28" t="s">
        <v>292</v>
      </c>
      <c r="G808" s="91">
        <f>SUM(G803:G807)</f>
        <v>0</v>
      </c>
      <c r="H808" s="92"/>
      <c r="I808" s="89"/>
      <c r="J808" s="9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idden="1">
      <c r="A809" s="104"/>
      <c r="B809" s="109"/>
      <c r="C809" s="109"/>
      <c r="D809" s="104"/>
      <c r="E809" s="255"/>
      <c r="F809" s="40"/>
      <c r="G809" s="277"/>
      <c r="H809" s="59"/>
      <c r="I809" s="61"/>
      <c r="J809" s="6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idden="1">
      <c r="A810" s="65"/>
      <c r="B810" s="65"/>
      <c r="C810" s="65"/>
      <c r="D810" s="66"/>
      <c r="E810" s="255"/>
      <c r="F810" s="40"/>
      <c r="G810" s="277"/>
      <c r="H810" s="77"/>
      <c r="I810" s="71"/>
      <c r="J810" s="7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idden="1">
      <c r="A811" s="65"/>
      <c r="B811" s="65"/>
      <c r="C811" s="65"/>
      <c r="D811" s="66"/>
      <c r="E811" s="255"/>
      <c r="F811" s="55"/>
      <c r="G811" s="58"/>
      <c r="H811" s="77"/>
      <c r="I811" s="71"/>
      <c r="J811" s="7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idden="1">
      <c r="A812" s="65"/>
      <c r="B812" s="65"/>
      <c r="C812" s="65"/>
      <c r="D812" s="66"/>
      <c r="E812" s="253"/>
      <c r="F812" s="55"/>
      <c r="G812" s="58"/>
      <c r="H812" s="77"/>
      <c r="I812" s="71"/>
      <c r="J812" s="7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idden="1">
      <c r="A813" s="65"/>
      <c r="B813" s="83"/>
      <c r="C813" s="65"/>
      <c r="D813" s="66"/>
      <c r="E813" s="253"/>
      <c r="F813" s="55"/>
      <c r="G813" s="58"/>
      <c r="H813" s="85"/>
      <c r="I813" s="86"/>
      <c r="J813" s="8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idden="1">
      <c r="A814" s="102"/>
      <c r="B814" s="89"/>
      <c r="C814" s="89"/>
      <c r="D814" s="89"/>
      <c r="E814" s="254"/>
      <c r="F814" s="28" t="s">
        <v>292</v>
      </c>
      <c r="G814" s="91">
        <f>SUM(G809:G813)</f>
        <v>0</v>
      </c>
      <c r="H814" s="92"/>
      <c r="I814" s="89"/>
      <c r="J814" s="9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idden="1">
      <c r="A815" s="104"/>
      <c r="B815" s="109"/>
      <c r="C815" s="109"/>
      <c r="D815" s="104"/>
      <c r="E815" s="255"/>
      <c r="F815" s="40"/>
      <c r="G815" s="277"/>
      <c r="H815" s="59"/>
      <c r="I815" s="61"/>
      <c r="J815" s="6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idden="1">
      <c r="A816" s="65"/>
      <c r="B816" s="65"/>
      <c r="C816" s="65"/>
      <c r="D816" s="66"/>
      <c r="E816" s="255"/>
      <c r="F816" s="40"/>
      <c r="G816" s="277"/>
      <c r="H816" s="77"/>
      <c r="I816" s="71"/>
      <c r="J816" s="7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idden="1">
      <c r="A817" s="65"/>
      <c r="B817" s="65"/>
      <c r="C817" s="65"/>
      <c r="D817" s="66"/>
      <c r="E817" s="255"/>
      <c r="F817" s="55"/>
      <c r="G817" s="58"/>
      <c r="H817" s="77"/>
      <c r="I817" s="71"/>
      <c r="J817" s="7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idden="1">
      <c r="A818" s="65"/>
      <c r="B818" s="65"/>
      <c r="C818" s="65"/>
      <c r="D818" s="66"/>
      <c r="E818" s="253"/>
      <c r="F818" s="55"/>
      <c r="G818" s="58"/>
      <c r="H818" s="77"/>
      <c r="I818" s="71"/>
      <c r="J818" s="7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idden="1">
      <c r="A819" s="65"/>
      <c r="B819" s="83"/>
      <c r="C819" s="65"/>
      <c r="D819" s="66"/>
      <c r="E819" s="253"/>
      <c r="F819" s="55"/>
      <c r="G819" s="58"/>
      <c r="H819" s="85"/>
      <c r="I819" s="86"/>
      <c r="J819" s="8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idden="1">
      <c r="A820" s="102"/>
      <c r="B820" s="89"/>
      <c r="C820" s="89"/>
      <c r="D820" s="89"/>
      <c r="E820" s="254"/>
      <c r="F820" s="28" t="s">
        <v>292</v>
      </c>
      <c r="G820" s="91">
        <f>SUM(G815:G819)</f>
        <v>0</v>
      </c>
      <c r="H820" s="92"/>
      <c r="I820" s="89"/>
      <c r="J820" s="9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idden="1">
      <c r="A821" s="104"/>
      <c r="B821" s="109"/>
      <c r="C821" s="109"/>
      <c r="D821" s="104"/>
      <c r="E821" s="255"/>
      <c r="F821" s="40"/>
      <c r="G821" s="277"/>
      <c r="H821" s="59"/>
      <c r="I821" s="61"/>
      <c r="J821" s="6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idden="1">
      <c r="A822" s="65"/>
      <c r="B822" s="65"/>
      <c r="C822" s="65"/>
      <c r="D822" s="66"/>
      <c r="E822" s="255"/>
      <c r="F822" s="40"/>
      <c r="G822" s="277"/>
      <c r="H822" s="77"/>
      <c r="I822" s="71"/>
      <c r="J822" s="7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idden="1">
      <c r="A823" s="65"/>
      <c r="B823" s="65"/>
      <c r="C823" s="65"/>
      <c r="D823" s="66"/>
      <c r="E823" s="255"/>
      <c r="F823" s="55"/>
      <c r="G823" s="58"/>
      <c r="H823" s="77"/>
      <c r="I823" s="71"/>
      <c r="J823" s="7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idden="1">
      <c r="A824" s="65"/>
      <c r="B824" s="65"/>
      <c r="C824" s="65"/>
      <c r="D824" s="66"/>
      <c r="E824" s="253"/>
      <c r="F824" s="55"/>
      <c r="G824" s="58"/>
      <c r="H824" s="77"/>
      <c r="I824" s="71"/>
      <c r="J824" s="7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idden="1">
      <c r="A825" s="65"/>
      <c r="B825" s="83"/>
      <c r="C825" s="65"/>
      <c r="D825" s="66"/>
      <c r="E825" s="253"/>
      <c r="F825" s="55"/>
      <c r="G825" s="58"/>
      <c r="H825" s="85"/>
      <c r="I825" s="86"/>
      <c r="J825" s="8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idden="1">
      <c r="A826" s="102"/>
      <c r="B826" s="89"/>
      <c r="C826" s="89"/>
      <c r="D826" s="89"/>
      <c r="E826" s="254"/>
      <c r="F826" s="28" t="s">
        <v>292</v>
      </c>
      <c r="G826" s="91">
        <f>SUM(G821:G825)</f>
        <v>0</v>
      </c>
      <c r="H826" s="92"/>
      <c r="I826" s="89"/>
      <c r="J826" s="9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idden="1">
      <c r="A827" s="104"/>
      <c r="B827" s="109"/>
      <c r="C827" s="109"/>
      <c r="D827" s="104"/>
      <c r="E827" s="255"/>
      <c r="F827" s="40"/>
      <c r="G827" s="277"/>
      <c r="H827" s="59"/>
      <c r="I827" s="61"/>
      <c r="J827" s="6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idden="1">
      <c r="A828" s="65"/>
      <c r="B828" s="65"/>
      <c r="C828" s="65"/>
      <c r="D828" s="66"/>
      <c r="E828" s="255"/>
      <c r="F828" s="40"/>
      <c r="G828" s="277"/>
      <c r="H828" s="77"/>
      <c r="I828" s="71"/>
      <c r="J828" s="7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idden="1">
      <c r="A829" s="65"/>
      <c r="B829" s="65"/>
      <c r="C829" s="65"/>
      <c r="D829" s="66"/>
      <c r="E829" s="255"/>
      <c r="F829" s="55"/>
      <c r="G829" s="58"/>
      <c r="H829" s="77"/>
      <c r="I829" s="71"/>
      <c r="J829" s="7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idden="1">
      <c r="A830" s="65"/>
      <c r="B830" s="65"/>
      <c r="C830" s="65"/>
      <c r="D830" s="66"/>
      <c r="E830" s="253"/>
      <c r="F830" s="55"/>
      <c r="G830" s="58"/>
      <c r="H830" s="77"/>
      <c r="I830" s="71"/>
      <c r="J830" s="7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idden="1">
      <c r="A831" s="65"/>
      <c r="B831" s="83"/>
      <c r="C831" s="65"/>
      <c r="D831" s="66"/>
      <c r="E831" s="253"/>
      <c r="F831" s="55"/>
      <c r="G831" s="58"/>
      <c r="H831" s="85"/>
      <c r="I831" s="86"/>
      <c r="J831" s="8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idden="1">
      <c r="A832" s="102"/>
      <c r="B832" s="89"/>
      <c r="C832" s="89"/>
      <c r="D832" s="89"/>
      <c r="E832" s="254"/>
      <c r="F832" s="28" t="s">
        <v>292</v>
      </c>
      <c r="G832" s="91">
        <f>SUM(G827:G831)</f>
        <v>0</v>
      </c>
      <c r="H832" s="92"/>
      <c r="I832" s="89"/>
      <c r="J832" s="9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idden="1">
      <c r="A833" s="104"/>
      <c r="B833" s="109"/>
      <c r="C833" s="109"/>
      <c r="D833" s="104"/>
      <c r="E833" s="255"/>
      <c r="F833" s="40"/>
      <c r="G833" s="277"/>
      <c r="H833" s="59"/>
      <c r="I833" s="61"/>
      <c r="J833" s="6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idden="1">
      <c r="A834" s="65"/>
      <c r="B834" s="65"/>
      <c r="C834" s="65"/>
      <c r="D834" s="66"/>
      <c r="E834" s="255"/>
      <c r="F834" s="40"/>
      <c r="G834" s="277"/>
      <c r="H834" s="77"/>
      <c r="I834" s="71"/>
      <c r="J834" s="7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idden="1">
      <c r="A835" s="65"/>
      <c r="B835" s="65"/>
      <c r="C835" s="65"/>
      <c r="D835" s="66"/>
      <c r="E835" s="255"/>
      <c r="F835" s="55"/>
      <c r="G835" s="58"/>
      <c r="H835" s="77"/>
      <c r="I835" s="71"/>
      <c r="J835" s="7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idden="1">
      <c r="A836" s="65"/>
      <c r="B836" s="65"/>
      <c r="C836" s="65"/>
      <c r="D836" s="66"/>
      <c r="E836" s="253"/>
      <c r="F836" s="55"/>
      <c r="G836" s="58"/>
      <c r="H836" s="77"/>
      <c r="I836" s="71"/>
      <c r="J836" s="7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idden="1">
      <c r="A837" s="65"/>
      <c r="B837" s="83"/>
      <c r="C837" s="65"/>
      <c r="D837" s="66"/>
      <c r="E837" s="253"/>
      <c r="F837" s="55"/>
      <c r="G837" s="58"/>
      <c r="H837" s="85"/>
      <c r="I837" s="86"/>
      <c r="J837" s="8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idden="1">
      <c r="A838" s="102"/>
      <c r="B838" s="89"/>
      <c r="C838" s="89"/>
      <c r="D838" s="89"/>
      <c r="E838" s="254"/>
      <c r="F838" s="28" t="s">
        <v>292</v>
      </c>
      <c r="G838" s="91">
        <f>SUM(G833:G837)</f>
        <v>0</v>
      </c>
      <c r="H838" s="92"/>
      <c r="I838" s="89"/>
      <c r="J838" s="9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idden="1">
      <c r="A839" s="104"/>
      <c r="B839" s="109"/>
      <c r="C839" s="109"/>
      <c r="D839" s="104"/>
      <c r="E839" s="255"/>
      <c r="F839" s="40"/>
      <c r="G839" s="277"/>
      <c r="H839" s="59"/>
      <c r="I839" s="61"/>
      <c r="J839" s="6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idden="1">
      <c r="A840" s="65"/>
      <c r="B840" s="65"/>
      <c r="C840" s="65"/>
      <c r="D840" s="66"/>
      <c r="E840" s="255"/>
      <c r="F840" s="40"/>
      <c r="G840" s="277"/>
      <c r="H840" s="77"/>
      <c r="I840" s="71"/>
      <c r="J840" s="7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idden="1">
      <c r="A841" s="65"/>
      <c r="B841" s="65"/>
      <c r="C841" s="65"/>
      <c r="D841" s="66"/>
      <c r="E841" s="255"/>
      <c r="F841" s="55"/>
      <c r="G841" s="58"/>
      <c r="H841" s="77"/>
      <c r="I841" s="71"/>
      <c r="J841" s="7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idden="1">
      <c r="A842" s="65"/>
      <c r="B842" s="65"/>
      <c r="C842" s="65"/>
      <c r="D842" s="66"/>
      <c r="E842" s="253"/>
      <c r="F842" s="55"/>
      <c r="G842" s="58"/>
      <c r="H842" s="77"/>
      <c r="I842" s="71"/>
      <c r="J842" s="7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idden="1">
      <c r="A843" s="65"/>
      <c r="B843" s="83"/>
      <c r="C843" s="65"/>
      <c r="D843" s="66"/>
      <c r="E843" s="253"/>
      <c r="F843" s="55"/>
      <c r="G843" s="58"/>
      <c r="H843" s="85"/>
      <c r="I843" s="86"/>
      <c r="J843" s="8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idden="1">
      <c r="A844" s="102"/>
      <c r="B844" s="89"/>
      <c r="C844" s="89"/>
      <c r="D844" s="89"/>
      <c r="E844" s="254"/>
      <c r="F844" s="28" t="s">
        <v>292</v>
      </c>
      <c r="G844" s="91">
        <f>SUM(G839:G843)</f>
        <v>0</v>
      </c>
      <c r="H844" s="92"/>
      <c r="I844" s="89"/>
      <c r="J844" s="9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idden="1">
      <c r="A845" s="104"/>
      <c r="B845" s="109"/>
      <c r="C845" s="109"/>
      <c r="D845" s="104"/>
      <c r="E845" s="255"/>
      <c r="F845" s="40"/>
      <c r="G845" s="277"/>
      <c r="H845" s="59"/>
      <c r="I845" s="61"/>
      <c r="J845" s="6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idden="1">
      <c r="A846" s="65"/>
      <c r="B846" s="65"/>
      <c r="C846" s="65"/>
      <c r="D846" s="66"/>
      <c r="E846" s="255"/>
      <c r="F846" s="40"/>
      <c r="G846" s="277"/>
      <c r="H846" s="77"/>
      <c r="I846" s="71"/>
      <c r="J846" s="7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idden="1">
      <c r="A847" s="65"/>
      <c r="B847" s="65"/>
      <c r="C847" s="65"/>
      <c r="D847" s="66"/>
      <c r="E847" s="255"/>
      <c r="F847" s="55"/>
      <c r="G847" s="58"/>
      <c r="H847" s="77"/>
      <c r="I847" s="71"/>
      <c r="J847" s="7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idden="1">
      <c r="A848" s="65"/>
      <c r="B848" s="65"/>
      <c r="C848" s="65"/>
      <c r="D848" s="66"/>
      <c r="E848" s="253"/>
      <c r="F848" s="55"/>
      <c r="G848" s="58"/>
      <c r="H848" s="77"/>
      <c r="I848" s="71"/>
      <c r="J848" s="7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idden="1">
      <c r="A849" s="65"/>
      <c r="B849" s="83"/>
      <c r="C849" s="65"/>
      <c r="D849" s="66"/>
      <c r="E849" s="253"/>
      <c r="F849" s="55"/>
      <c r="G849" s="58"/>
      <c r="H849" s="85"/>
      <c r="I849" s="86"/>
      <c r="J849" s="8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idden="1">
      <c r="A850" s="102"/>
      <c r="B850" s="89"/>
      <c r="C850" s="89"/>
      <c r="D850" s="89"/>
      <c r="E850" s="254"/>
      <c r="F850" s="28" t="s">
        <v>292</v>
      </c>
      <c r="G850" s="91">
        <f>SUM(G845:G849)</f>
        <v>0</v>
      </c>
      <c r="H850" s="92"/>
      <c r="I850" s="89"/>
      <c r="J850" s="9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idden="1">
      <c r="A851" s="104"/>
      <c r="B851" s="109"/>
      <c r="C851" s="109"/>
      <c r="D851" s="104"/>
      <c r="E851" s="255"/>
      <c r="F851" s="40"/>
      <c r="G851" s="277"/>
      <c r="H851" s="59"/>
      <c r="I851" s="61"/>
      <c r="J851" s="6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idden="1">
      <c r="A852" s="65"/>
      <c r="B852" s="65"/>
      <c r="C852" s="65"/>
      <c r="D852" s="66"/>
      <c r="E852" s="255"/>
      <c r="F852" s="40"/>
      <c r="G852" s="277"/>
      <c r="H852" s="77"/>
      <c r="I852" s="71"/>
      <c r="J852" s="7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idden="1">
      <c r="A853" s="65"/>
      <c r="B853" s="65"/>
      <c r="C853" s="65"/>
      <c r="D853" s="66"/>
      <c r="E853" s="255"/>
      <c r="F853" s="55"/>
      <c r="G853" s="58"/>
      <c r="H853" s="77"/>
      <c r="I853" s="71"/>
      <c r="J853" s="7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idden="1">
      <c r="A854" s="65"/>
      <c r="B854" s="65"/>
      <c r="C854" s="65"/>
      <c r="D854" s="66"/>
      <c r="E854" s="253"/>
      <c r="F854" s="55"/>
      <c r="G854" s="58"/>
      <c r="H854" s="77"/>
      <c r="I854" s="71"/>
      <c r="J854" s="7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idden="1">
      <c r="A855" s="65"/>
      <c r="B855" s="83"/>
      <c r="C855" s="65"/>
      <c r="D855" s="66"/>
      <c r="E855" s="253"/>
      <c r="F855" s="55"/>
      <c r="G855" s="58"/>
      <c r="H855" s="85"/>
      <c r="I855" s="86"/>
      <c r="J855" s="8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idden="1">
      <c r="A856" s="103"/>
      <c r="B856" s="103"/>
      <c r="C856" s="103"/>
      <c r="D856" s="103"/>
      <c r="E856" s="257"/>
      <c r="F856" s="28" t="s">
        <v>292</v>
      </c>
      <c r="G856" s="91">
        <f>SUM(G851:G855)</f>
        <v>0</v>
      </c>
      <c r="H856" s="92"/>
      <c r="I856" s="93"/>
      <c r="J856" s="10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idden="1">
      <c r="A857" s="104"/>
      <c r="B857" s="109"/>
      <c r="C857" s="109"/>
      <c r="D857" s="104"/>
      <c r="E857" s="255"/>
      <c r="F857" s="40"/>
      <c r="G857" s="277"/>
      <c r="H857" s="59"/>
      <c r="I857" s="61"/>
      <c r="J857" s="6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idden="1">
      <c r="A858" s="65"/>
      <c r="B858" s="65"/>
      <c r="C858" s="65"/>
      <c r="D858" s="66"/>
      <c r="E858" s="255"/>
      <c r="F858" s="40"/>
      <c r="G858" s="277"/>
      <c r="H858" s="77"/>
      <c r="I858" s="71"/>
      <c r="J858" s="7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idden="1">
      <c r="A859" s="65"/>
      <c r="B859" s="65"/>
      <c r="C859" s="65"/>
      <c r="D859" s="66"/>
      <c r="E859" s="255"/>
      <c r="F859" s="55"/>
      <c r="G859" s="58"/>
      <c r="H859" s="77"/>
      <c r="I859" s="71"/>
      <c r="J859" s="7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idden="1">
      <c r="A860" s="65"/>
      <c r="B860" s="65"/>
      <c r="C860" s="65"/>
      <c r="D860" s="66"/>
      <c r="E860" s="253"/>
      <c r="F860" s="55"/>
      <c r="G860" s="58"/>
      <c r="H860" s="77"/>
      <c r="I860" s="71"/>
      <c r="J860" s="7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idden="1">
      <c r="A861" s="65"/>
      <c r="B861" s="83"/>
      <c r="C861" s="65"/>
      <c r="D861" s="66"/>
      <c r="E861" s="253"/>
      <c r="F861" s="55"/>
      <c r="G861" s="58"/>
      <c r="H861" s="85"/>
      <c r="I861" s="86"/>
      <c r="J861" s="8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idden="1">
      <c r="A862" s="102"/>
      <c r="B862" s="89"/>
      <c r="C862" s="89"/>
      <c r="D862" s="89"/>
      <c r="E862" s="254"/>
      <c r="F862" s="28" t="s">
        <v>292</v>
      </c>
      <c r="G862" s="91">
        <f>SUM(G857:G861)</f>
        <v>0</v>
      </c>
      <c r="H862" s="92"/>
      <c r="I862" s="89"/>
      <c r="J862" s="9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idden="1">
      <c r="A863" s="104"/>
      <c r="B863" s="109"/>
      <c r="C863" s="109"/>
      <c r="D863" s="104"/>
      <c r="E863" s="255"/>
      <c r="F863" s="40"/>
      <c r="G863" s="277"/>
      <c r="H863" s="59"/>
      <c r="I863" s="61"/>
      <c r="J863" s="6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idden="1">
      <c r="A864" s="65"/>
      <c r="B864" s="65"/>
      <c r="C864" s="65"/>
      <c r="D864" s="66"/>
      <c r="E864" s="255"/>
      <c r="F864" s="40"/>
      <c r="G864" s="277"/>
      <c r="H864" s="77"/>
      <c r="I864" s="71"/>
      <c r="J864" s="7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idden="1">
      <c r="A865" s="65"/>
      <c r="B865" s="65"/>
      <c r="C865" s="65"/>
      <c r="D865" s="66"/>
      <c r="E865" s="255"/>
      <c r="F865" s="55"/>
      <c r="G865" s="58"/>
      <c r="H865" s="77"/>
      <c r="I865" s="71"/>
      <c r="J865" s="7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idden="1">
      <c r="A866" s="65"/>
      <c r="B866" s="65"/>
      <c r="C866" s="65"/>
      <c r="D866" s="66"/>
      <c r="E866" s="253"/>
      <c r="F866" s="55"/>
      <c r="G866" s="58"/>
      <c r="H866" s="77"/>
      <c r="I866" s="71"/>
      <c r="J866" s="7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idden="1">
      <c r="A867" s="65"/>
      <c r="B867" s="83"/>
      <c r="C867" s="65"/>
      <c r="D867" s="66"/>
      <c r="E867" s="253"/>
      <c r="F867" s="55"/>
      <c r="G867" s="58"/>
      <c r="H867" s="85"/>
      <c r="I867" s="86"/>
      <c r="J867" s="8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idden="1">
      <c r="A868" s="102"/>
      <c r="B868" s="89"/>
      <c r="C868" s="89"/>
      <c r="D868" s="89"/>
      <c r="E868" s="254"/>
      <c r="F868" s="28" t="s">
        <v>292</v>
      </c>
      <c r="G868" s="91">
        <f>SUM(G863:G867)</f>
        <v>0</v>
      </c>
      <c r="H868" s="92"/>
      <c r="I868" s="89"/>
      <c r="J868" s="9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idden="1">
      <c r="A869" s="104"/>
      <c r="B869" s="109"/>
      <c r="C869" s="109"/>
      <c r="D869" s="104"/>
      <c r="E869" s="255"/>
      <c r="F869" s="40"/>
      <c r="G869" s="277"/>
      <c r="H869" s="59"/>
      <c r="I869" s="61"/>
      <c r="J869" s="6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idden="1">
      <c r="A870" s="65"/>
      <c r="B870" s="65"/>
      <c r="C870" s="65"/>
      <c r="D870" s="66"/>
      <c r="E870" s="255"/>
      <c r="F870" s="40"/>
      <c r="G870" s="277"/>
      <c r="H870" s="77"/>
      <c r="I870" s="71"/>
      <c r="J870" s="7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idden="1">
      <c r="A871" s="65"/>
      <c r="B871" s="65"/>
      <c r="C871" s="65"/>
      <c r="D871" s="66"/>
      <c r="E871" s="255"/>
      <c r="F871" s="55"/>
      <c r="G871" s="58"/>
      <c r="H871" s="77"/>
      <c r="I871" s="71"/>
      <c r="J871" s="7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idden="1">
      <c r="A872" s="65"/>
      <c r="B872" s="65"/>
      <c r="C872" s="65"/>
      <c r="D872" s="66"/>
      <c r="E872" s="253"/>
      <c r="F872" s="55"/>
      <c r="G872" s="58"/>
      <c r="H872" s="77"/>
      <c r="I872" s="71"/>
      <c r="J872" s="7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idden="1">
      <c r="A873" s="65"/>
      <c r="B873" s="83"/>
      <c r="C873" s="65"/>
      <c r="D873" s="66"/>
      <c r="E873" s="253"/>
      <c r="F873" s="55"/>
      <c r="G873" s="58"/>
      <c r="H873" s="85"/>
      <c r="I873" s="86"/>
      <c r="J873" s="8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idden="1">
      <c r="A874" s="102"/>
      <c r="B874" s="89"/>
      <c r="C874" s="89"/>
      <c r="D874" s="89"/>
      <c r="E874" s="254"/>
      <c r="F874" s="28" t="s">
        <v>292</v>
      </c>
      <c r="G874" s="91">
        <f>SUM(G869:G873)</f>
        <v>0</v>
      </c>
      <c r="H874" s="92"/>
      <c r="I874" s="89"/>
      <c r="J874" s="9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idden="1">
      <c r="A875" s="104"/>
      <c r="B875" s="109"/>
      <c r="C875" s="109"/>
      <c r="D875" s="104"/>
      <c r="E875" s="255"/>
      <c r="F875" s="40"/>
      <c r="G875" s="277"/>
      <c r="H875" s="59"/>
      <c r="I875" s="61"/>
      <c r="J875" s="6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idden="1">
      <c r="A876" s="65"/>
      <c r="B876" s="65"/>
      <c r="C876" s="65"/>
      <c r="D876" s="66"/>
      <c r="E876" s="255"/>
      <c r="F876" s="117"/>
      <c r="G876" s="114"/>
      <c r="H876" s="77"/>
      <c r="I876" s="71"/>
      <c r="J876" s="7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idden="1">
      <c r="A877" s="65"/>
      <c r="B877" s="65"/>
      <c r="C877" s="65"/>
      <c r="D877" s="66"/>
      <c r="E877" s="255"/>
      <c r="F877" s="55"/>
      <c r="G877" s="58"/>
      <c r="H877" s="77"/>
      <c r="I877" s="71"/>
      <c r="J877" s="7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idden="1">
      <c r="A878" s="65"/>
      <c r="B878" s="65"/>
      <c r="C878" s="65"/>
      <c r="D878" s="66"/>
      <c r="E878" s="253"/>
      <c r="F878" s="55"/>
      <c r="G878" s="58"/>
      <c r="H878" s="77"/>
      <c r="I878" s="71"/>
      <c r="J878" s="7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idden="1">
      <c r="A879" s="65"/>
      <c r="B879" s="83"/>
      <c r="C879" s="65"/>
      <c r="D879" s="66"/>
      <c r="E879" s="253"/>
      <c r="F879" s="55"/>
      <c r="G879" s="58"/>
      <c r="H879" s="85"/>
      <c r="I879" s="86"/>
      <c r="J879" s="8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idden="1">
      <c r="A880" s="102"/>
      <c r="B880" s="89"/>
      <c r="C880" s="89"/>
      <c r="D880" s="89"/>
      <c r="E880" s="254"/>
      <c r="F880" s="28" t="s">
        <v>292</v>
      </c>
      <c r="G880" s="91">
        <f>SUM(G875:G879)</f>
        <v>0</v>
      </c>
      <c r="H880" s="92"/>
      <c r="I880" s="89"/>
      <c r="J880" s="9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idden="1">
      <c r="A881" s="104"/>
      <c r="B881" s="109"/>
      <c r="C881" s="109"/>
      <c r="D881" s="104"/>
      <c r="E881" s="255"/>
      <c r="F881" s="40"/>
      <c r="G881" s="277"/>
      <c r="H881" s="59"/>
      <c r="I881" s="61"/>
      <c r="J881" s="6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idden="1">
      <c r="A882" s="65"/>
      <c r="B882" s="65"/>
      <c r="C882" s="65"/>
      <c r="D882" s="66"/>
      <c r="E882" s="255"/>
      <c r="F882" s="117"/>
      <c r="G882" s="114"/>
      <c r="H882" s="77"/>
      <c r="I882" s="71"/>
      <c r="J882" s="7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idden="1">
      <c r="A883" s="65"/>
      <c r="B883" s="65"/>
      <c r="C883" s="65"/>
      <c r="D883" s="66"/>
      <c r="E883" s="255"/>
      <c r="F883" s="55"/>
      <c r="G883" s="58"/>
      <c r="H883" s="77"/>
      <c r="I883" s="71"/>
      <c r="J883" s="7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idden="1">
      <c r="A884" s="65"/>
      <c r="B884" s="65"/>
      <c r="C884" s="65"/>
      <c r="D884" s="66"/>
      <c r="E884" s="253"/>
      <c r="F884" s="55"/>
      <c r="G884" s="58"/>
      <c r="H884" s="77"/>
      <c r="I884" s="71"/>
      <c r="J884" s="7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idden="1">
      <c r="A885" s="65"/>
      <c r="B885" s="83"/>
      <c r="C885" s="65"/>
      <c r="D885" s="66"/>
      <c r="E885" s="253"/>
      <c r="F885" s="55"/>
      <c r="G885" s="58"/>
      <c r="H885" s="85"/>
      <c r="I885" s="86"/>
      <c r="J885" s="8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idden="1">
      <c r="A886" s="102"/>
      <c r="B886" s="89"/>
      <c r="C886" s="89"/>
      <c r="D886" s="89"/>
      <c r="E886" s="254"/>
      <c r="F886" s="28" t="s">
        <v>292</v>
      </c>
      <c r="G886" s="91">
        <f>SUM(G881:G885)</f>
        <v>0</v>
      </c>
      <c r="H886" s="92"/>
      <c r="I886" s="89"/>
      <c r="J886" s="9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idden="1">
      <c r="A887" s="104"/>
      <c r="B887" s="109"/>
      <c r="C887" s="109"/>
      <c r="D887" s="104"/>
      <c r="E887" s="255"/>
      <c r="F887" s="40"/>
      <c r="G887" s="277"/>
      <c r="H887" s="59"/>
      <c r="I887" s="61"/>
      <c r="J887" s="6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idden="1">
      <c r="A888" s="65"/>
      <c r="B888" s="65"/>
      <c r="C888" s="65"/>
      <c r="D888" s="66"/>
      <c r="E888" s="255"/>
      <c r="F888" s="40"/>
      <c r="G888" s="277"/>
      <c r="H888" s="77"/>
      <c r="I888" s="71"/>
      <c r="J888" s="7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idden="1">
      <c r="A889" s="65"/>
      <c r="B889" s="65"/>
      <c r="C889" s="65"/>
      <c r="D889" s="66"/>
      <c r="E889" s="255"/>
      <c r="F889" s="55"/>
      <c r="G889" s="58"/>
      <c r="H889" s="77"/>
      <c r="I889" s="71"/>
      <c r="J889" s="7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idden="1">
      <c r="A890" s="65"/>
      <c r="B890" s="65"/>
      <c r="C890" s="65"/>
      <c r="D890" s="66"/>
      <c r="E890" s="253"/>
      <c r="F890" s="55"/>
      <c r="G890" s="58"/>
      <c r="H890" s="77"/>
      <c r="I890" s="71"/>
      <c r="J890" s="7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idden="1">
      <c r="A891" s="65"/>
      <c r="B891" s="83"/>
      <c r="C891" s="65"/>
      <c r="D891" s="66"/>
      <c r="E891" s="253"/>
      <c r="F891" s="55"/>
      <c r="G891" s="58"/>
      <c r="H891" s="85"/>
      <c r="I891" s="86"/>
      <c r="J891" s="8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idden="1">
      <c r="A892" s="102"/>
      <c r="B892" s="89"/>
      <c r="C892" s="89"/>
      <c r="D892" s="89"/>
      <c r="E892" s="254"/>
      <c r="F892" s="28" t="s">
        <v>292</v>
      </c>
      <c r="G892" s="91">
        <f>SUM(G887:G891)</f>
        <v>0</v>
      </c>
      <c r="H892" s="92"/>
      <c r="I892" s="89"/>
      <c r="J892" s="9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idden="1">
      <c r="A893" s="104"/>
      <c r="B893" s="109"/>
      <c r="C893" s="109"/>
      <c r="D893" s="104"/>
      <c r="E893" s="255"/>
      <c r="F893" s="40"/>
      <c r="G893" s="277"/>
      <c r="H893" s="59"/>
      <c r="I893" s="61"/>
      <c r="J893" s="6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idden="1">
      <c r="A894" s="65"/>
      <c r="B894" s="65"/>
      <c r="C894" s="65"/>
      <c r="D894" s="66"/>
      <c r="E894" s="255"/>
      <c r="F894" s="40"/>
      <c r="G894" s="277"/>
      <c r="H894" s="77"/>
      <c r="I894" s="71"/>
      <c r="J894" s="7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idden="1">
      <c r="A895" s="65"/>
      <c r="B895" s="65"/>
      <c r="C895" s="65"/>
      <c r="D895" s="66"/>
      <c r="E895" s="255"/>
      <c r="F895" s="55"/>
      <c r="G895" s="58"/>
      <c r="H895" s="77"/>
      <c r="I895" s="71"/>
      <c r="J895" s="7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idden="1">
      <c r="A896" s="65"/>
      <c r="B896" s="65"/>
      <c r="C896" s="65"/>
      <c r="D896" s="66"/>
      <c r="E896" s="253"/>
      <c r="F896" s="55"/>
      <c r="G896" s="58"/>
      <c r="H896" s="77"/>
      <c r="I896" s="71"/>
      <c r="J896" s="7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idden="1">
      <c r="A897" s="65"/>
      <c r="B897" s="83"/>
      <c r="C897" s="65"/>
      <c r="D897" s="66"/>
      <c r="E897" s="253"/>
      <c r="F897" s="55"/>
      <c r="G897" s="58"/>
      <c r="H897" s="85"/>
      <c r="I897" s="86"/>
      <c r="J897" s="8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idden="1">
      <c r="A898" s="102"/>
      <c r="B898" s="89"/>
      <c r="C898" s="89"/>
      <c r="D898" s="89"/>
      <c r="E898" s="254"/>
      <c r="F898" s="28" t="s">
        <v>292</v>
      </c>
      <c r="G898" s="91">
        <f>SUM(G893:G897)</f>
        <v>0</v>
      </c>
      <c r="H898" s="92"/>
      <c r="I898" s="89"/>
      <c r="J898" s="9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idden="1">
      <c r="A899" s="104"/>
      <c r="B899" s="109"/>
      <c r="C899" s="109"/>
      <c r="D899" s="104"/>
      <c r="E899" s="255"/>
      <c r="F899" s="40"/>
      <c r="G899" s="277"/>
      <c r="H899" s="59"/>
      <c r="I899" s="61"/>
      <c r="J899" s="6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idden="1">
      <c r="A900" s="65"/>
      <c r="B900" s="65"/>
      <c r="C900" s="65"/>
      <c r="D900" s="66"/>
      <c r="E900" s="255"/>
      <c r="F900" s="40"/>
      <c r="G900" s="277"/>
      <c r="H900" s="77"/>
      <c r="I900" s="71"/>
      <c r="J900" s="7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idden="1">
      <c r="A901" s="65"/>
      <c r="B901" s="65"/>
      <c r="C901" s="65"/>
      <c r="D901" s="66"/>
      <c r="E901" s="255"/>
      <c r="F901" s="55"/>
      <c r="G901" s="58"/>
      <c r="H901" s="77"/>
      <c r="I901" s="71"/>
      <c r="J901" s="7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idden="1">
      <c r="A902" s="65"/>
      <c r="B902" s="65"/>
      <c r="C902" s="65"/>
      <c r="D902" s="66"/>
      <c r="E902" s="253"/>
      <c r="F902" s="55"/>
      <c r="G902" s="58"/>
      <c r="H902" s="77"/>
      <c r="I902" s="71"/>
      <c r="J902" s="7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idden="1">
      <c r="A903" s="65"/>
      <c r="B903" s="83"/>
      <c r="C903" s="65"/>
      <c r="D903" s="66"/>
      <c r="E903" s="253"/>
      <c r="F903" s="55"/>
      <c r="G903" s="58"/>
      <c r="H903" s="85"/>
      <c r="I903" s="86"/>
      <c r="J903" s="8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idden="1">
      <c r="A904" s="102"/>
      <c r="B904" s="89"/>
      <c r="C904" s="89"/>
      <c r="D904" s="89"/>
      <c r="E904" s="254"/>
      <c r="F904" s="28" t="s">
        <v>292</v>
      </c>
      <c r="G904" s="91">
        <f>SUM(G899:G903)</f>
        <v>0</v>
      </c>
      <c r="H904" s="92"/>
      <c r="I904" s="89"/>
      <c r="J904" s="9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idden="1">
      <c r="A905" s="104"/>
      <c r="B905" s="109"/>
      <c r="C905" s="109"/>
      <c r="D905" s="104"/>
      <c r="E905" s="255"/>
      <c r="F905" s="40"/>
      <c r="G905" s="277"/>
      <c r="H905" s="59"/>
      <c r="I905" s="61"/>
      <c r="J905" s="6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idden="1">
      <c r="A906" s="65"/>
      <c r="B906" s="65"/>
      <c r="C906" s="65"/>
      <c r="D906" s="66"/>
      <c r="E906" s="255"/>
      <c r="F906" s="40"/>
      <c r="G906" s="277"/>
      <c r="H906" s="77"/>
      <c r="I906" s="71"/>
      <c r="J906" s="7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idden="1">
      <c r="A907" s="65"/>
      <c r="B907" s="65"/>
      <c r="C907" s="65"/>
      <c r="D907" s="66"/>
      <c r="E907" s="255"/>
      <c r="F907" s="55"/>
      <c r="G907" s="58"/>
      <c r="H907" s="77"/>
      <c r="I907" s="71"/>
      <c r="J907" s="7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idden="1">
      <c r="A908" s="65"/>
      <c r="B908" s="65"/>
      <c r="C908" s="65"/>
      <c r="D908" s="66"/>
      <c r="E908" s="253"/>
      <c r="F908" s="55"/>
      <c r="G908" s="58"/>
      <c r="H908" s="77"/>
      <c r="I908" s="71"/>
      <c r="J908" s="7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idden="1">
      <c r="A909" s="65"/>
      <c r="B909" s="83"/>
      <c r="C909" s="65"/>
      <c r="D909" s="66"/>
      <c r="E909" s="253"/>
      <c r="F909" s="55"/>
      <c r="G909" s="58"/>
      <c r="H909" s="85"/>
      <c r="I909" s="86"/>
      <c r="J909" s="8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idden="1">
      <c r="A910" s="102"/>
      <c r="B910" s="89"/>
      <c r="C910" s="89"/>
      <c r="D910" s="89"/>
      <c r="E910" s="254"/>
      <c r="F910" s="28" t="s">
        <v>292</v>
      </c>
      <c r="G910" s="91">
        <f>SUM(G905:G909)</f>
        <v>0</v>
      </c>
      <c r="H910" s="92"/>
      <c r="I910" s="89"/>
      <c r="J910" s="9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idden="1">
      <c r="A911" s="104"/>
      <c r="B911" s="109"/>
      <c r="C911" s="109"/>
      <c r="D911" s="104"/>
      <c r="E911" s="255"/>
      <c r="F911" s="40"/>
      <c r="G911" s="277"/>
      <c r="H911" s="59"/>
      <c r="I911" s="61"/>
      <c r="J911" s="6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idden="1">
      <c r="A912" s="65"/>
      <c r="B912" s="65"/>
      <c r="C912" s="65"/>
      <c r="D912" s="66"/>
      <c r="E912" s="255"/>
      <c r="F912" s="40"/>
      <c r="G912" s="277"/>
      <c r="H912" s="77"/>
      <c r="I912" s="71"/>
      <c r="J912" s="7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idden="1">
      <c r="A913" s="65"/>
      <c r="B913" s="65"/>
      <c r="C913" s="65"/>
      <c r="D913" s="66"/>
      <c r="E913" s="255"/>
      <c r="F913" s="55"/>
      <c r="G913" s="58"/>
      <c r="H913" s="77"/>
      <c r="I913" s="71"/>
      <c r="J913" s="7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idden="1">
      <c r="A914" s="65"/>
      <c r="B914" s="65"/>
      <c r="C914" s="65"/>
      <c r="D914" s="66"/>
      <c r="E914" s="253"/>
      <c r="F914" s="55"/>
      <c r="G914" s="58"/>
      <c r="H914" s="77"/>
      <c r="I914" s="71"/>
      <c r="J914" s="7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idden="1">
      <c r="A915" s="65"/>
      <c r="B915" s="83"/>
      <c r="C915" s="65"/>
      <c r="D915" s="66"/>
      <c r="E915" s="253"/>
      <c r="F915" s="55"/>
      <c r="G915" s="58"/>
      <c r="H915" s="85"/>
      <c r="I915" s="86"/>
      <c r="J915" s="8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idden="1">
      <c r="A916" s="102"/>
      <c r="B916" s="89"/>
      <c r="C916" s="89"/>
      <c r="D916" s="89"/>
      <c r="E916" s="254"/>
      <c r="F916" s="28" t="s">
        <v>292</v>
      </c>
      <c r="G916" s="91">
        <f>SUM(G911:G915)</f>
        <v>0</v>
      </c>
      <c r="H916" s="92"/>
      <c r="I916" s="89"/>
      <c r="J916" s="9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idden="1">
      <c r="A917" s="104"/>
      <c r="B917" s="109"/>
      <c r="C917" s="109"/>
      <c r="D917" s="104"/>
      <c r="E917" s="255"/>
      <c r="F917" s="40"/>
      <c r="G917" s="277"/>
      <c r="H917" s="59"/>
      <c r="I917" s="61"/>
      <c r="J917" s="6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idden="1">
      <c r="A918" s="65"/>
      <c r="B918" s="65"/>
      <c r="C918" s="65"/>
      <c r="D918" s="66"/>
      <c r="E918" s="255"/>
      <c r="F918" s="40"/>
      <c r="G918" s="277"/>
      <c r="H918" s="77"/>
      <c r="I918" s="71"/>
      <c r="J918" s="7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idden="1">
      <c r="A919" s="65"/>
      <c r="B919" s="65"/>
      <c r="C919" s="65"/>
      <c r="D919" s="66"/>
      <c r="E919" s="255"/>
      <c r="F919" s="55"/>
      <c r="G919" s="58"/>
      <c r="H919" s="77"/>
      <c r="I919" s="71"/>
      <c r="J919" s="7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idden="1">
      <c r="A920" s="65"/>
      <c r="B920" s="65"/>
      <c r="C920" s="65"/>
      <c r="D920" s="66"/>
      <c r="E920" s="253"/>
      <c r="F920" s="55"/>
      <c r="G920" s="58"/>
      <c r="H920" s="77"/>
      <c r="I920" s="71"/>
      <c r="J920" s="7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idden="1">
      <c r="A921" s="65"/>
      <c r="B921" s="83"/>
      <c r="C921" s="65"/>
      <c r="D921" s="66"/>
      <c r="E921" s="253"/>
      <c r="F921" s="55"/>
      <c r="G921" s="58"/>
      <c r="H921" s="85"/>
      <c r="I921" s="86"/>
      <c r="J921" s="8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idden="1">
      <c r="A922" s="103"/>
      <c r="B922" s="103"/>
      <c r="C922" s="103"/>
      <c r="D922" s="103"/>
      <c r="E922" s="257"/>
      <c r="F922" s="28" t="s">
        <v>292</v>
      </c>
      <c r="G922" s="91">
        <f>SUM(G917:G921)</f>
        <v>0</v>
      </c>
      <c r="H922" s="92"/>
      <c r="I922" s="93"/>
      <c r="J922" s="10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idden="1">
      <c r="A923" s="104"/>
      <c r="B923" s="109"/>
      <c r="C923" s="109"/>
      <c r="D923" s="104"/>
      <c r="E923" s="255"/>
      <c r="F923" s="40"/>
      <c r="G923" s="277"/>
      <c r="H923" s="59"/>
      <c r="I923" s="61"/>
      <c r="J923" s="6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idden="1">
      <c r="A924" s="65"/>
      <c r="B924" s="65"/>
      <c r="C924" s="65"/>
      <c r="D924" s="66"/>
      <c r="E924" s="255"/>
      <c r="F924" s="40"/>
      <c r="G924" s="277"/>
      <c r="H924" s="77"/>
      <c r="I924" s="71"/>
      <c r="J924" s="7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idden="1">
      <c r="A925" s="65"/>
      <c r="B925" s="65"/>
      <c r="C925" s="65"/>
      <c r="D925" s="66"/>
      <c r="E925" s="255"/>
      <c r="F925" s="55"/>
      <c r="G925" s="58"/>
      <c r="H925" s="77"/>
      <c r="I925" s="71"/>
      <c r="J925" s="7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idden="1">
      <c r="A926" s="65"/>
      <c r="B926" s="65"/>
      <c r="C926" s="65"/>
      <c r="D926" s="66"/>
      <c r="E926" s="253"/>
      <c r="F926" s="55"/>
      <c r="G926" s="58"/>
      <c r="H926" s="77"/>
      <c r="I926" s="71"/>
      <c r="J926" s="7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idden="1">
      <c r="A927" s="65"/>
      <c r="B927" s="83"/>
      <c r="C927" s="65"/>
      <c r="D927" s="66"/>
      <c r="E927" s="253"/>
      <c r="F927" s="55"/>
      <c r="G927" s="58"/>
      <c r="H927" s="85"/>
      <c r="I927" s="86"/>
      <c r="J927" s="8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idden="1">
      <c r="A928" s="102"/>
      <c r="B928" s="89"/>
      <c r="C928" s="89"/>
      <c r="D928" s="89"/>
      <c r="E928" s="254"/>
      <c r="F928" s="28" t="s">
        <v>292</v>
      </c>
      <c r="G928" s="91">
        <f>SUM(G923:G927)</f>
        <v>0</v>
      </c>
      <c r="H928" s="92"/>
      <c r="I928" s="89"/>
      <c r="J928" s="9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idden="1">
      <c r="A929" s="104"/>
      <c r="B929" s="109"/>
      <c r="C929" s="109"/>
      <c r="D929" s="104"/>
      <c r="E929" s="255"/>
      <c r="F929" s="40"/>
      <c r="G929" s="277"/>
      <c r="H929" s="59"/>
      <c r="I929" s="61"/>
      <c r="J929" s="6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idden="1">
      <c r="A930" s="65"/>
      <c r="B930" s="65"/>
      <c r="C930" s="65"/>
      <c r="D930" s="66"/>
      <c r="E930" s="255"/>
      <c r="F930" s="40"/>
      <c r="G930" s="277"/>
      <c r="H930" s="77"/>
      <c r="I930" s="71"/>
      <c r="J930" s="7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idden="1">
      <c r="A931" s="65"/>
      <c r="B931" s="65"/>
      <c r="C931" s="65"/>
      <c r="D931" s="66"/>
      <c r="E931" s="255"/>
      <c r="F931" s="55"/>
      <c r="G931" s="58"/>
      <c r="H931" s="77"/>
      <c r="I931" s="71"/>
      <c r="J931" s="7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idden="1">
      <c r="A932" s="65"/>
      <c r="B932" s="65"/>
      <c r="C932" s="65"/>
      <c r="D932" s="66"/>
      <c r="E932" s="253"/>
      <c r="F932" s="55"/>
      <c r="G932" s="58"/>
      <c r="H932" s="77"/>
      <c r="I932" s="71"/>
      <c r="J932" s="7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idden="1">
      <c r="A933" s="65"/>
      <c r="B933" s="83"/>
      <c r="C933" s="65"/>
      <c r="D933" s="66"/>
      <c r="E933" s="253"/>
      <c r="F933" s="55"/>
      <c r="G933" s="58"/>
      <c r="H933" s="85"/>
      <c r="I933" s="86"/>
      <c r="J933" s="8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idden="1">
      <c r="A934" s="102"/>
      <c r="B934" s="89"/>
      <c r="C934" s="89"/>
      <c r="D934" s="89"/>
      <c r="E934" s="254"/>
      <c r="F934" s="28" t="s">
        <v>292</v>
      </c>
      <c r="G934" s="91">
        <f>SUM(G929:G933)</f>
        <v>0</v>
      </c>
      <c r="H934" s="92"/>
      <c r="I934" s="89"/>
      <c r="J934" s="9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idden="1">
      <c r="A935" s="104"/>
      <c r="B935" s="109"/>
      <c r="C935" s="109"/>
      <c r="D935" s="104"/>
      <c r="E935" s="255"/>
      <c r="F935" s="40"/>
      <c r="G935" s="277"/>
      <c r="H935" s="59"/>
      <c r="I935" s="61"/>
      <c r="J935" s="6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idden="1">
      <c r="A936" s="65"/>
      <c r="B936" s="65"/>
      <c r="C936" s="65"/>
      <c r="D936" s="66"/>
      <c r="E936" s="255"/>
      <c r="F936" s="40"/>
      <c r="G936" s="277"/>
      <c r="H936" s="77"/>
      <c r="I936" s="71"/>
      <c r="J936" s="7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idden="1">
      <c r="A937" s="65"/>
      <c r="B937" s="65"/>
      <c r="C937" s="65"/>
      <c r="D937" s="66"/>
      <c r="E937" s="255"/>
      <c r="F937" s="55"/>
      <c r="G937" s="58"/>
      <c r="H937" s="77"/>
      <c r="I937" s="71"/>
      <c r="J937" s="7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idden="1">
      <c r="A938" s="65"/>
      <c r="B938" s="65"/>
      <c r="C938" s="65"/>
      <c r="D938" s="66"/>
      <c r="E938" s="253"/>
      <c r="F938" s="55"/>
      <c r="G938" s="58"/>
      <c r="H938" s="77"/>
      <c r="I938" s="71"/>
      <c r="J938" s="7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idden="1">
      <c r="A939" s="65"/>
      <c r="B939" s="83"/>
      <c r="C939" s="65"/>
      <c r="D939" s="66"/>
      <c r="E939" s="253"/>
      <c r="F939" s="55"/>
      <c r="G939" s="58"/>
      <c r="H939" s="85"/>
      <c r="I939" s="86"/>
      <c r="J939" s="8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idden="1">
      <c r="A940" s="102"/>
      <c r="B940" s="89"/>
      <c r="C940" s="89"/>
      <c r="D940" s="89"/>
      <c r="E940" s="254"/>
      <c r="F940" s="28" t="s">
        <v>292</v>
      </c>
      <c r="G940" s="91">
        <f>SUM(G935:G939)</f>
        <v>0</v>
      </c>
      <c r="H940" s="92"/>
      <c r="I940" s="89"/>
      <c r="J940" s="9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idden="1">
      <c r="A941" s="104"/>
      <c r="B941" s="109"/>
      <c r="C941" s="109"/>
      <c r="D941" s="104"/>
      <c r="E941" s="255"/>
      <c r="F941" s="40"/>
      <c r="G941" s="277"/>
      <c r="H941" s="59"/>
      <c r="I941" s="61"/>
      <c r="J941" s="6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idden="1">
      <c r="A942" s="65"/>
      <c r="B942" s="65"/>
      <c r="C942" s="65"/>
      <c r="D942" s="66"/>
      <c r="E942" s="255"/>
      <c r="F942" s="40"/>
      <c r="G942" s="277"/>
      <c r="H942" s="77"/>
      <c r="I942" s="71"/>
      <c r="J942" s="7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idden="1">
      <c r="A943" s="65"/>
      <c r="B943" s="65"/>
      <c r="C943" s="65"/>
      <c r="D943" s="66"/>
      <c r="E943" s="255"/>
      <c r="F943" s="55"/>
      <c r="G943" s="58"/>
      <c r="H943" s="77"/>
      <c r="I943" s="71"/>
      <c r="J943" s="7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idden="1">
      <c r="A944" s="65"/>
      <c r="B944" s="65"/>
      <c r="C944" s="65"/>
      <c r="D944" s="66"/>
      <c r="E944" s="253"/>
      <c r="F944" s="55"/>
      <c r="G944" s="58"/>
      <c r="H944" s="77"/>
      <c r="I944" s="71"/>
      <c r="J944" s="7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idden="1">
      <c r="A945" s="65"/>
      <c r="B945" s="83"/>
      <c r="C945" s="65"/>
      <c r="D945" s="66"/>
      <c r="E945" s="253"/>
      <c r="F945" s="55"/>
      <c r="G945" s="58"/>
      <c r="H945" s="85"/>
      <c r="I945" s="86"/>
      <c r="J945" s="8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idden="1">
      <c r="A946" s="102"/>
      <c r="B946" s="89"/>
      <c r="C946" s="89"/>
      <c r="D946" s="89"/>
      <c r="E946" s="254"/>
      <c r="F946" s="28" t="s">
        <v>292</v>
      </c>
      <c r="G946" s="91">
        <f>SUM(G941:G945)</f>
        <v>0</v>
      </c>
      <c r="H946" s="92"/>
      <c r="I946" s="89"/>
      <c r="J946" s="9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idden="1">
      <c r="A947" s="104"/>
      <c r="B947" s="109"/>
      <c r="C947" s="109"/>
      <c r="D947" s="104"/>
      <c r="E947" s="255"/>
      <c r="F947" s="40"/>
      <c r="G947" s="277"/>
      <c r="H947" s="59"/>
      <c r="I947" s="61"/>
      <c r="J947" s="6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idden="1">
      <c r="A948" s="65"/>
      <c r="B948" s="65"/>
      <c r="C948" s="65"/>
      <c r="D948" s="66"/>
      <c r="E948" s="255"/>
      <c r="F948" s="40"/>
      <c r="G948" s="277"/>
      <c r="H948" s="77"/>
      <c r="I948" s="71"/>
      <c r="J948" s="7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idden="1">
      <c r="A949" s="65"/>
      <c r="B949" s="65"/>
      <c r="C949" s="65"/>
      <c r="D949" s="66"/>
      <c r="E949" s="255"/>
      <c r="F949" s="55"/>
      <c r="G949" s="58"/>
      <c r="H949" s="77"/>
      <c r="I949" s="71"/>
      <c r="J949" s="7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idden="1">
      <c r="A950" s="65"/>
      <c r="B950" s="65"/>
      <c r="C950" s="65"/>
      <c r="D950" s="66"/>
      <c r="E950" s="253"/>
      <c r="F950" s="55"/>
      <c r="G950" s="58"/>
      <c r="H950" s="77"/>
      <c r="I950" s="71"/>
      <c r="J950" s="7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idden="1">
      <c r="A951" s="65"/>
      <c r="B951" s="83"/>
      <c r="C951" s="65"/>
      <c r="D951" s="66"/>
      <c r="E951" s="253"/>
      <c r="F951" s="55"/>
      <c r="G951" s="58"/>
      <c r="H951" s="85"/>
      <c r="I951" s="86"/>
      <c r="J951" s="8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idden="1">
      <c r="A952" s="102"/>
      <c r="B952" s="89"/>
      <c r="C952" s="89"/>
      <c r="D952" s="89"/>
      <c r="E952" s="254"/>
      <c r="F952" s="28" t="s">
        <v>292</v>
      </c>
      <c r="G952" s="91">
        <f>SUM(G947:G951)</f>
        <v>0</v>
      </c>
      <c r="H952" s="92"/>
      <c r="I952" s="89"/>
      <c r="J952" s="9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idden="1">
      <c r="A953" s="104"/>
      <c r="B953" s="109"/>
      <c r="C953" s="109"/>
      <c r="D953" s="104"/>
      <c r="E953" s="255"/>
      <c r="F953" s="40"/>
      <c r="G953" s="277"/>
      <c r="H953" s="59"/>
      <c r="I953" s="61"/>
      <c r="J953" s="6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idden="1">
      <c r="A954" s="65"/>
      <c r="B954" s="65"/>
      <c r="C954" s="65"/>
      <c r="D954" s="66"/>
      <c r="E954" s="255"/>
      <c r="F954" s="40"/>
      <c r="G954" s="277"/>
      <c r="H954" s="77"/>
      <c r="I954" s="71"/>
      <c r="J954" s="7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idden="1">
      <c r="A955" s="65"/>
      <c r="B955" s="65"/>
      <c r="C955" s="65"/>
      <c r="D955" s="66"/>
      <c r="E955" s="255"/>
      <c r="F955" s="55"/>
      <c r="G955" s="58"/>
      <c r="H955" s="77"/>
      <c r="I955" s="71"/>
      <c r="J955" s="7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idden="1">
      <c r="A956" s="65"/>
      <c r="B956" s="65"/>
      <c r="C956" s="65"/>
      <c r="D956" s="66"/>
      <c r="E956" s="253"/>
      <c r="F956" s="55"/>
      <c r="G956" s="58"/>
      <c r="H956" s="77"/>
      <c r="I956" s="71"/>
      <c r="J956" s="7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idden="1">
      <c r="A957" s="65"/>
      <c r="B957" s="83"/>
      <c r="C957" s="65"/>
      <c r="D957" s="66"/>
      <c r="E957" s="253"/>
      <c r="F957" s="55"/>
      <c r="G957" s="58"/>
      <c r="H957" s="85"/>
      <c r="I957" s="86"/>
      <c r="J957" s="8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idden="1">
      <c r="A958" s="102"/>
      <c r="B958" s="89"/>
      <c r="C958" s="89"/>
      <c r="D958" s="89"/>
      <c r="E958" s="254"/>
      <c r="F958" s="28" t="s">
        <v>292</v>
      </c>
      <c r="G958" s="91">
        <f>SUM(G953:G957)</f>
        <v>0</v>
      </c>
      <c r="H958" s="92"/>
      <c r="I958" s="89"/>
      <c r="J958" s="9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idden="1">
      <c r="A959" s="104"/>
      <c r="B959" s="109"/>
      <c r="C959" s="109"/>
      <c r="D959" s="104"/>
      <c r="E959" s="255"/>
      <c r="F959" s="117"/>
      <c r="G959" s="114"/>
      <c r="H959" s="59"/>
      <c r="I959" s="61"/>
      <c r="J959" s="6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idden="1">
      <c r="A960" s="65"/>
      <c r="B960" s="65"/>
      <c r="C960" s="65"/>
      <c r="D960" s="66"/>
      <c r="E960" s="255"/>
      <c r="F960" s="117"/>
      <c r="G960" s="114"/>
      <c r="H960" s="77"/>
      <c r="I960" s="71"/>
      <c r="J960" s="7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idden="1">
      <c r="A961" s="65"/>
      <c r="B961" s="65"/>
      <c r="C961" s="65"/>
      <c r="D961" s="66"/>
      <c r="E961" s="255"/>
      <c r="F961" s="117"/>
      <c r="G961" s="114"/>
      <c r="H961" s="77"/>
      <c r="I961" s="71"/>
      <c r="J961" s="7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idden="1">
      <c r="A962" s="65"/>
      <c r="B962" s="65"/>
      <c r="C962" s="65"/>
      <c r="D962" s="66"/>
      <c r="E962" s="253"/>
      <c r="F962" s="55"/>
      <c r="G962" s="58"/>
      <c r="H962" s="77"/>
      <c r="I962" s="71"/>
      <c r="J962" s="7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idden="1">
      <c r="A963" s="65"/>
      <c r="B963" s="83"/>
      <c r="C963" s="65"/>
      <c r="D963" s="66"/>
      <c r="E963" s="253"/>
      <c r="F963" s="55"/>
      <c r="G963" s="58"/>
      <c r="H963" s="85"/>
      <c r="I963" s="86"/>
      <c r="J963" s="8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idden="1">
      <c r="A964" s="102"/>
      <c r="B964" s="89"/>
      <c r="C964" s="89"/>
      <c r="D964" s="89"/>
      <c r="E964" s="254"/>
      <c r="F964" s="28" t="s">
        <v>292</v>
      </c>
      <c r="G964" s="91">
        <f>SUM(G959:G963)</f>
        <v>0</v>
      </c>
      <c r="H964" s="92"/>
      <c r="I964" s="89"/>
      <c r="J964" s="9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idden="1">
      <c r="A965" s="104"/>
      <c r="B965" s="109"/>
      <c r="C965" s="109"/>
      <c r="D965" s="104"/>
      <c r="E965" s="255"/>
      <c r="F965" s="117"/>
      <c r="G965" s="114"/>
      <c r="H965" s="59"/>
      <c r="I965" s="61"/>
      <c r="J965" s="6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idden="1">
      <c r="A966" s="65"/>
      <c r="B966" s="65"/>
      <c r="C966" s="65"/>
      <c r="D966" s="66"/>
      <c r="E966" s="255"/>
      <c r="F966" s="40"/>
      <c r="G966" s="277"/>
      <c r="H966" s="77"/>
      <c r="I966" s="71"/>
      <c r="J966" s="7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idden="1">
      <c r="A967" s="65"/>
      <c r="B967" s="65"/>
      <c r="C967" s="65"/>
      <c r="D967" s="66"/>
      <c r="E967" s="255"/>
      <c r="F967" s="55"/>
      <c r="G967" s="58"/>
      <c r="H967" s="77"/>
      <c r="I967" s="71"/>
      <c r="J967" s="7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idden="1">
      <c r="A968" s="65"/>
      <c r="B968" s="65"/>
      <c r="C968" s="65"/>
      <c r="D968" s="66"/>
      <c r="E968" s="253"/>
      <c r="F968" s="55"/>
      <c r="G968" s="58"/>
      <c r="H968" s="77"/>
      <c r="I968" s="71"/>
      <c r="J968" s="7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idden="1">
      <c r="A969" s="65"/>
      <c r="B969" s="83"/>
      <c r="C969" s="65"/>
      <c r="D969" s="66"/>
      <c r="E969" s="253"/>
      <c r="F969" s="55"/>
      <c r="G969" s="58"/>
      <c r="H969" s="85"/>
      <c r="I969" s="86"/>
      <c r="J969" s="8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idden="1">
      <c r="A970" s="102"/>
      <c r="B970" s="89"/>
      <c r="C970" s="89"/>
      <c r="D970" s="89"/>
      <c r="E970" s="254"/>
      <c r="F970" s="28" t="s">
        <v>292</v>
      </c>
      <c r="G970" s="91">
        <f>SUM(G965:G969)</f>
        <v>0</v>
      </c>
      <c r="H970" s="92"/>
      <c r="I970" s="89"/>
      <c r="J970" s="9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idden="1">
      <c r="A971" s="104"/>
      <c r="B971" s="109"/>
      <c r="C971" s="109"/>
      <c r="D971" s="104"/>
      <c r="E971" s="255"/>
      <c r="F971" s="117"/>
      <c r="G971" s="114"/>
      <c r="H971" s="59"/>
      <c r="I971" s="61"/>
      <c r="J971" s="6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idden="1">
      <c r="A972" s="65"/>
      <c r="B972" s="65"/>
      <c r="C972" s="65"/>
      <c r="D972" s="66"/>
      <c r="E972" s="255"/>
      <c r="F972" s="117"/>
      <c r="G972" s="114"/>
      <c r="H972" s="77"/>
      <c r="I972" s="71"/>
      <c r="J972" s="7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idden="1">
      <c r="A973" s="65"/>
      <c r="B973" s="65"/>
      <c r="C973" s="65"/>
      <c r="D973" s="66"/>
      <c r="E973" s="255"/>
      <c r="F973" s="117"/>
      <c r="G973" s="114"/>
      <c r="H973" s="77"/>
      <c r="I973" s="71"/>
      <c r="J973" s="7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idden="1">
      <c r="A974" s="65"/>
      <c r="B974" s="65"/>
      <c r="C974" s="65"/>
      <c r="D974" s="66"/>
      <c r="E974" s="253"/>
      <c r="F974" s="55"/>
      <c r="G974" s="58"/>
      <c r="H974" s="77"/>
      <c r="I974" s="71"/>
      <c r="J974" s="7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idden="1">
      <c r="A975" s="65"/>
      <c r="B975" s="83"/>
      <c r="C975" s="65"/>
      <c r="D975" s="66"/>
      <c r="E975" s="253"/>
      <c r="F975" s="55"/>
      <c r="G975" s="58"/>
      <c r="H975" s="85"/>
      <c r="I975" s="86"/>
      <c r="J975" s="8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idden="1">
      <c r="A976" s="102"/>
      <c r="B976" s="89"/>
      <c r="C976" s="89"/>
      <c r="D976" s="89"/>
      <c r="E976" s="254"/>
      <c r="F976" s="28" t="s">
        <v>292</v>
      </c>
      <c r="G976" s="91">
        <f>SUM(G971:G975)</f>
        <v>0</v>
      </c>
      <c r="H976" s="92"/>
      <c r="I976" s="89"/>
      <c r="J976" s="9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idden="1">
      <c r="A977" s="104"/>
      <c r="B977" s="109"/>
      <c r="C977" s="109"/>
      <c r="D977" s="104"/>
      <c r="E977" s="255"/>
      <c r="F977" s="117"/>
      <c r="G977" s="114"/>
      <c r="H977" s="59"/>
      <c r="I977" s="61"/>
      <c r="J977" s="6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idden="1">
      <c r="A978" s="65"/>
      <c r="B978" s="65"/>
      <c r="C978" s="65"/>
      <c r="D978" s="66"/>
      <c r="E978" s="255"/>
      <c r="F978" s="117"/>
      <c r="G978" s="114"/>
      <c r="H978" s="77"/>
      <c r="I978" s="71"/>
      <c r="J978" s="7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idden="1">
      <c r="A979" s="65"/>
      <c r="B979" s="65"/>
      <c r="C979" s="65"/>
      <c r="D979" s="66"/>
      <c r="E979" s="255"/>
      <c r="F979" s="117"/>
      <c r="G979" s="114"/>
      <c r="H979" s="77"/>
      <c r="I979" s="71"/>
      <c r="J979" s="7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idden="1">
      <c r="A980" s="65"/>
      <c r="B980" s="65"/>
      <c r="C980" s="65"/>
      <c r="D980" s="66"/>
      <c r="E980" s="253"/>
      <c r="F980" s="55"/>
      <c r="G980" s="58"/>
      <c r="H980" s="77"/>
      <c r="I980" s="71"/>
      <c r="J980" s="7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idden="1">
      <c r="A981" s="65"/>
      <c r="B981" s="83"/>
      <c r="C981" s="65"/>
      <c r="D981" s="66"/>
      <c r="E981" s="253"/>
      <c r="F981" s="55"/>
      <c r="G981" s="58"/>
      <c r="H981" s="85"/>
      <c r="I981" s="86"/>
      <c r="J981" s="8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idden="1">
      <c r="A982" s="102"/>
      <c r="B982" s="89"/>
      <c r="C982" s="89"/>
      <c r="D982" s="89"/>
      <c r="E982" s="254"/>
      <c r="F982" s="28" t="s">
        <v>292</v>
      </c>
      <c r="G982" s="91">
        <f>SUM(G977:G981)</f>
        <v>0</v>
      </c>
      <c r="H982" s="92"/>
      <c r="I982" s="89"/>
      <c r="J982" s="9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idden="1">
      <c r="A983" s="104"/>
      <c r="B983" s="109"/>
      <c r="C983" s="109"/>
      <c r="D983" s="104"/>
      <c r="E983" s="255"/>
      <c r="F983" s="117"/>
      <c r="G983" s="114"/>
      <c r="H983" s="59"/>
      <c r="I983" s="152"/>
      <c r="J983" s="15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idden="1">
      <c r="A984" s="65"/>
      <c r="B984" s="65"/>
      <c r="C984" s="65"/>
      <c r="D984" s="66"/>
      <c r="E984" s="255"/>
      <c r="F984" s="117"/>
      <c r="G984" s="114"/>
      <c r="H984" s="77"/>
      <c r="I984" s="71"/>
      <c r="J984" s="7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idden="1">
      <c r="A985" s="65"/>
      <c r="B985" s="65"/>
      <c r="C985" s="65"/>
      <c r="D985" s="66"/>
      <c r="E985" s="255"/>
      <c r="F985" s="117"/>
      <c r="G985" s="114"/>
      <c r="H985" s="77"/>
      <c r="I985" s="71"/>
      <c r="J985" s="7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idden="1">
      <c r="A986" s="65"/>
      <c r="B986" s="65"/>
      <c r="C986" s="65"/>
      <c r="D986" s="66"/>
      <c r="E986" s="253"/>
      <c r="F986" s="55"/>
      <c r="G986" s="58"/>
      <c r="H986" s="77"/>
      <c r="I986" s="71"/>
      <c r="J986" s="7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idden="1">
      <c r="A987" s="65"/>
      <c r="B987" s="83"/>
      <c r="C987" s="65"/>
      <c r="D987" s="66"/>
      <c r="E987" s="253"/>
      <c r="F987" s="55"/>
      <c r="G987" s="58"/>
      <c r="H987" s="85"/>
      <c r="I987" s="86"/>
      <c r="J987" s="8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idden="1">
      <c r="A988" s="103"/>
      <c r="B988" s="103"/>
      <c r="C988" s="103"/>
      <c r="D988" s="103"/>
      <c r="E988" s="257"/>
      <c r="F988" s="28" t="s">
        <v>292</v>
      </c>
      <c r="G988" s="91">
        <f>SUM(G983:G987)</f>
        <v>0</v>
      </c>
      <c r="H988" s="92"/>
      <c r="I988" s="93"/>
      <c r="J988" s="10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idden="1">
      <c r="A989" s="104"/>
      <c r="B989" s="109"/>
      <c r="C989" s="109"/>
      <c r="D989" s="104"/>
      <c r="E989" s="255"/>
      <c r="F989" s="117"/>
      <c r="G989" s="114"/>
      <c r="H989" s="59"/>
      <c r="I989" s="61"/>
      <c r="J989" s="6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idden="1">
      <c r="A990" s="65"/>
      <c r="B990" s="65"/>
      <c r="C990" s="65"/>
      <c r="D990" s="66"/>
      <c r="E990" s="255"/>
      <c r="F990" s="117"/>
      <c r="G990" s="114"/>
      <c r="H990" s="77"/>
      <c r="I990" s="71"/>
      <c r="J990" s="7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idden="1">
      <c r="A991" s="65"/>
      <c r="B991" s="65"/>
      <c r="C991" s="65"/>
      <c r="D991" s="66"/>
      <c r="E991" s="255"/>
      <c r="F991" s="117"/>
      <c r="G991" s="114"/>
      <c r="H991" s="77"/>
      <c r="I991" s="71"/>
      <c r="J991" s="7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idden="1">
      <c r="A992" s="65"/>
      <c r="B992" s="65"/>
      <c r="C992" s="65"/>
      <c r="D992" s="66"/>
      <c r="E992" s="253"/>
      <c r="F992" s="55"/>
      <c r="G992" s="58"/>
      <c r="H992" s="77"/>
      <c r="I992" s="71"/>
      <c r="J992" s="7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idden="1">
      <c r="A993" s="65"/>
      <c r="B993" s="83"/>
      <c r="C993" s="65"/>
      <c r="D993" s="66"/>
      <c r="E993" s="253"/>
      <c r="F993" s="55"/>
      <c r="G993" s="58"/>
      <c r="H993" s="85"/>
      <c r="I993" s="86"/>
      <c r="J993" s="8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idden="1">
      <c r="A994" s="102"/>
      <c r="B994" s="89"/>
      <c r="C994" s="89"/>
      <c r="D994" s="89"/>
      <c r="E994" s="254"/>
      <c r="F994" s="28" t="s">
        <v>292</v>
      </c>
      <c r="G994" s="91">
        <f>SUM(G989:G993)</f>
        <v>0</v>
      </c>
      <c r="H994" s="92"/>
      <c r="I994" s="89"/>
      <c r="J994" s="9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idden="1">
      <c r="A995" s="104"/>
      <c r="B995" s="165"/>
      <c r="C995" s="109"/>
      <c r="D995" s="104"/>
      <c r="E995" s="255"/>
      <c r="F995" s="117"/>
      <c r="G995" s="114"/>
      <c r="H995" s="59"/>
      <c r="I995" s="61"/>
      <c r="J995" s="6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idden="1">
      <c r="A996" s="65"/>
      <c r="B996" s="65"/>
      <c r="C996" s="65"/>
      <c r="D996" s="66"/>
      <c r="E996" s="255"/>
      <c r="F996" s="40"/>
      <c r="G996" s="277"/>
      <c r="H996" s="77"/>
      <c r="I996" s="71"/>
      <c r="J996" s="7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idden="1">
      <c r="A997" s="65"/>
      <c r="B997" s="65"/>
      <c r="C997" s="65"/>
      <c r="D997" s="66"/>
      <c r="E997" s="255"/>
      <c r="F997" s="55"/>
      <c r="G997" s="58"/>
      <c r="H997" s="77"/>
      <c r="I997" s="71"/>
      <c r="J997" s="7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idden="1">
      <c r="A998" s="65"/>
      <c r="B998" s="65"/>
      <c r="C998" s="65"/>
      <c r="D998" s="66"/>
      <c r="E998" s="253"/>
      <c r="F998" s="55"/>
      <c r="G998" s="58"/>
      <c r="H998" s="77"/>
      <c r="I998" s="71"/>
      <c r="J998" s="7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idden="1">
      <c r="A999" s="65"/>
      <c r="B999" s="83"/>
      <c r="C999" s="65"/>
      <c r="D999" s="66"/>
      <c r="E999" s="253"/>
      <c r="F999" s="55"/>
      <c r="G999" s="58"/>
      <c r="H999" s="85"/>
      <c r="I999" s="86"/>
      <c r="J999" s="8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idden="1">
      <c r="A1000" s="102"/>
      <c r="B1000" s="89"/>
      <c r="C1000" s="89"/>
      <c r="D1000" s="89"/>
      <c r="E1000" s="254"/>
      <c r="F1000" s="28" t="s">
        <v>292</v>
      </c>
      <c r="G1000" s="91">
        <f>SUM(G995:G999)</f>
        <v>0</v>
      </c>
      <c r="H1000" s="92"/>
      <c r="I1000" s="89"/>
      <c r="J1000" s="9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idden="1">
      <c r="A1001" s="104"/>
      <c r="B1001" s="109"/>
      <c r="C1001" s="109"/>
      <c r="D1001" s="104"/>
      <c r="E1001" s="255"/>
      <c r="F1001" s="117"/>
      <c r="G1001" s="114"/>
      <c r="H1001" s="59"/>
      <c r="I1001" s="61"/>
      <c r="J1001" s="6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idden="1">
      <c r="A1002" s="65"/>
      <c r="B1002" s="65"/>
      <c r="C1002" s="65"/>
      <c r="D1002" s="66"/>
      <c r="E1002" s="255"/>
      <c r="F1002" s="117"/>
      <c r="G1002" s="114"/>
      <c r="H1002" s="77"/>
      <c r="I1002" s="71"/>
      <c r="J1002" s="7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idden="1">
      <c r="A1003" s="65"/>
      <c r="B1003" s="65"/>
      <c r="C1003" s="65"/>
      <c r="D1003" s="66"/>
      <c r="E1003" s="255"/>
      <c r="F1003" s="117"/>
      <c r="G1003" s="114"/>
      <c r="H1003" s="77"/>
      <c r="I1003" s="71"/>
      <c r="J1003" s="7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idden="1">
      <c r="A1004" s="65"/>
      <c r="B1004" s="65"/>
      <c r="C1004" s="65"/>
      <c r="D1004" s="66"/>
      <c r="E1004" s="253"/>
      <c r="F1004" s="55"/>
      <c r="G1004" s="58"/>
      <c r="H1004" s="77"/>
      <c r="I1004" s="71"/>
      <c r="J1004" s="7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idden="1">
      <c r="A1005" s="65"/>
      <c r="B1005" s="83"/>
      <c r="C1005" s="65"/>
      <c r="D1005" s="66"/>
      <c r="E1005" s="253"/>
      <c r="F1005" s="55"/>
      <c r="G1005" s="58"/>
      <c r="H1005" s="85"/>
      <c r="I1005" s="86"/>
      <c r="J1005" s="86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idden="1">
      <c r="A1006" s="102"/>
      <c r="B1006" s="89"/>
      <c r="C1006" s="89"/>
      <c r="D1006" s="89"/>
      <c r="E1006" s="254"/>
      <c r="F1006" s="28" t="s">
        <v>292</v>
      </c>
      <c r="G1006" s="91">
        <f>SUM(G1001:G1005)</f>
        <v>0</v>
      </c>
      <c r="H1006" s="92"/>
      <c r="I1006" s="89"/>
      <c r="J1006" s="93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idden="1">
      <c r="A1007" s="104"/>
      <c r="B1007" s="109"/>
      <c r="C1007" s="109"/>
      <c r="D1007" s="104"/>
      <c r="E1007" s="255"/>
      <c r="F1007" s="117"/>
      <c r="G1007" s="114"/>
      <c r="H1007" s="59"/>
      <c r="I1007" s="61"/>
      <c r="J1007" s="6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idden="1">
      <c r="A1008" s="65"/>
      <c r="B1008" s="65"/>
      <c r="C1008" s="65"/>
      <c r="D1008" s="66"/>
      <c r="E1008" s="255"/>
      <c r="F1008" s="40"/>
      <c r="G1008" s="277"/>
      <c r="H1008" s="77"/>
      <c r="I1008" s="71"/>
      <c r="J1008" s="7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idden="1">
      <c r="A1009" s="65"/>
      <c r="B1009" s="65"/>
      <c r="C1009" s="65"/>
      <c r="D1009" s="66"/>
      <c r="E1009" s="255"/>
      <c r="F1009" s="55"/>
      <c r="G1009" s="58"/>
      <c r="H1009" s="77"/>
      <c r="I1009" s="71"/>
      <c r="J1009" s="7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idden="1">
      <c r="A1010" s="65"/>
      <c r="B1010" s="65"/>
      <c r="C1010" s="65"/>
      <c r="D1010" s="66"/>
      <c r="E1010" s="253"/>
      <c r="F1010" s="55"/>
      <c r="G1010" s="58"/>
      <c r="H1010" s="77"/>
      <c r="I1010" s="71"/>
      <c r="J1010" s="7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idden="1">
      <c r="A1011" s="65"/>
      <c r="B1011" s="83"/>
      <c r="C1011" s="65"/>
      <c r="D1011" s="66"/>
      <c r="E1011" s="253"/>
      <c r="F1011" s="55"/>
      <c r="G1011" s="58"/>
      <c r="H1011" s="85"/>
      <c r="I1011" s="86"/>
      <c r="J1011" s="86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idden="1">
      <c r="A1012" s="102"/>
      <c r="B1012" s="89"/>
      <c r="C1012" s="89"/>
      <c r="D1012" s="89"/>
      <c r="E1012" s="254"/>
      <c r="F1012" s="28" t="s">
        <v>292</v>
      </c>
      <c r="G1012" s="91">
        <f>SUM(G1007:G1011)</f>
        <v>0</v>
      </c>
      <c r="H1012" s="92"/>
      <c r="I1012" s="89"/>
      <c r="J1012" s="93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idden="1">
      <c r="A1013" s="104"/>
      <c r="B1013" s="109"/>
      <c r="C1013" s="109"/>
      <c r="D1013" s="104"/>
      <c r="E1013" s="255"/>
      <c r="F1013" s="117"/>
      <c r="G1013" s="114"/>
      <c r="H1013" s="59"/>
      <c r="I1013" s="61"/>
      <c r="J1013" s="6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idden="1">
      <c r="A1014" s="65"/>
      <c r="B1014" s="65"/>
      <c r="C1014" s="65"/>
      <c r="D1014" s="66"/>
      <c r="E1014" s="255"/>
      <c r="F1014" s="40"/>
      <c r="G1014" s="277"/>
      <c r="H1014" s="77"/>
      <c r="I1014" s="71"/>
      <c r="J1014" s="7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idden="1">
      <c r="A1015" s="65"/>
      <c r="B1015" s="65"/>
      <c r="C1015" s="65"/>
      <c r="D1015" s="66"/>
      <c r="E1015" s="255"/>
      <c r="F1015" s="55"/>
      <c r="G1015" s="58"/>
      <c r="H1015" s="77"/>
      <c r="I1015" s="71"/>
      <c r="J1015" s="7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idden="1">
      <c r="A1016" s="65"/>
      <c r="B1016" s="65"/>
      <c r="C1016" s="65"/>
      <c r="D1016" s="66"/>
      <c r="E1016" s="253"/>
      <c r="F1016" s="55"/>
      <c r="G1016" s="58"/>
      <c r="H1016" s="77"/>
      <c r="I1016" s="71"/>
      <c r="J1016" s="7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idden="1">
      <c r="A1017" s="65"/>
      <c r="B1017" s="83"/>
      <c r="C1017" s="65"/>
      <c r="D1017" s="66"/>
      <c r="E1017" s="253"/>
      <c r="F1017" s="55"/>
      <c r="G1017" s="58"/>
      <c r="H1017" s="85"/>
      <c r="I1017" s="86"/>
      <c r="J1017" s="86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idden="1">
      <c r="A1018" s="102"/>
      <c r="B1018" s="89"/>
      <c r="C1018" s="89"/>
      <c r="D1018" s="89"/>
      <c r="E1018" s="254"/>
      <c r="F1018" s="28" t="s">
        <v>292</v>
      </c>
      <c r="G1018" s="91">
        <f>SUM(G1013:G1017)</f>
        <v>0</v>
      </c>
      <c r="H1018" s="92"/>
      <c r="I1018" s="89"/>
      <c r="J1018" s="93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idden="1">
      <c r="A1019" s="104"/>
      <c r="B1019" s="109"/>
      <c r="C1019" s="109"/>
      <c r="D1019" s="104"/>
      <c r="E1019" s="255"/>
      <c r="F1019" s="117"/>
      <c r="G1019" s="114"/>
      <c r="H1019" s="59"/>
      <c r="I1019" s="152"/>
      <c r="J1019" s="152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idden="1">
      <c r="A1020" s="65"/>
      <c r="B1020" s="65"/>
      <c r="C1020" s="65"/>
      <c r="D1020" s="66"/>
      <c r="E1020" s="255"/>
      <c r="F1020" s="117"/>
      <c r="G1020" s="114"/>
      <c r="H1020" s="77"/>
      <c r="I1020" s="71"/>
      <c r="J1020" s="7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idden="1">
      <c r="A1021" s="65"/>
      <c r="B1021" s="65"/>
      <c r="C1021" s="65"/>
      <c r="D1021" s="66"/>
      <c r="E1021" s="255"/>
      <c r="F1021" s="117"/>
      <c r="G1021" s="114"/>
      <c r="H1021" s="77"/>
      <c r="I1021" s="71"/>
      <c r="J1021" s="7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idden="1">
      <c r="A1022" s="65"/>
      <c r="B1022" s="65"/>
      <c r="C1022" s="65"/>
      <c r="D1022" s="66"/>
      <c r="E1022" s="253"/>
      <c r="F1022" s="55"/>
      <c r="G1022" s="58"/>
      <c r="H1022" s="77"/>
      <c r="I1022" s="71"/>
      <c r="J1022" s="7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idden="1">
      <c r="A1023" s="65"/>
      <c r="B1023" s="83"/>
      <c r="C1023" s="65"/>
      <c r="D1023" s="66"/>
      <c r="E1023" s="253"/>
      <c r="F1023" s="55"/>
      <c r="G1023" s="58"/>
      <c r="H1023" s="85"/>
      <c r="I1023" s="86"/>
      <c r="J1023" s="86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idden="1">
      <c r="A1024" s="102"/>
      <c r="B1024" s="89"/>
      <c r="C1024" s="89"/>
      <c r="D1024" s="89"/>
      <c r="E1024" s="254"/>
      <c r="F1024" s="28" t="s">
        <v>292</v>
      </c>
      <c r="G1024" s="91">
        <f>SUM(G1019:G1023)</f>
        <v>0</v>
      </c>
      <c r="H1024" s="92"/>
      <c r="I1024" s="89"/>
      <c r="J1024" s="93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idden="1">
      <c r="A1025" s="104"/>
      <c r="B1025" s="109"/>
      <c r="C1025" s="109"/>
      <c r="D1025" s="104"/>
      <c r="E1025" s="255"/>
      <c r="F1025" s="117"/>
      <c r="G1025" s="114"/>
      <c r="H1025" s="59"/>
      <c r="I1025" s="61"/>
      <c r="J1025" s="6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idden="1">
      <c r="A1026" s="65"/>
      <c r="B1026" s="65"/>
      <c r="C1026" s="65"/>
      <c r="D1026" s="66"/>
      <c r="E1026" s="255"/>
      <c r="F1026" s="117"/>
      <c r="G1026" s="114"/>
      <c r="H1026" s="77"/>
      <c r="I1026" s="71"/>
      <c r="J1026" s="7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idden="1">
      <c r="A1027" s="65"/>
      <c r="B1027" s="65"/>
      <c r="C1027" s="65"/>
      <c r="D1027" s="66"/>
      <c r="E1027" s="255"/>
      <c r="F1027" s="55"/>
      <c r="G1027" s="58"/>
      <c r="H1027" s="77"/>
      <c r="I1027" s="71"/>
      <c r="J1027" s="7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idden="1">
      <c r="A1028" s="65"/>
      <c r="B1028" s="65"/>
      <c r="C1028" s="65"/>
      <c r="D1028" s="66"/>
      <c r="E1028" s="253"/>
      <c r="F1028" s="55"/>
      <c r="G1028" s="58"/>
      <c r="H1028" s="77"/>
      <c r="I1028" s="71"/>
      <c r="J1028" s="7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idden="1">
      <c r="A1029" s="65"/>
      <c r="B1029" s="83"/>
      <c r="C1029" s="65"/>
      <c r="D1029" s="66"/>
      <c r="E1029" s="253"/>
      <c r="F1029" s="55"/>
      <c r="G1029" s="58"/>
      <c r="H1029" s="85"/>
      <c r="I1029" s="86"/>
      <c r="J1029" s="86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idden="1">
      <c r="A1030" s="102"/>
      <c r="B1030" s="89"/>
      <c r="C1030" s="89"/>
      <c r="D1030" s="89"/>
      <c r="E1030" s="254"/>
      <c r="F1030" s="28" t="s">
        <v>292</v>
      </c>
      <c r="G1030" s="91">
        <f>SUM(G1025:G1029)</f>
        <v>0</v>
      </c>
      <c r="H1030" s="92"/>
      <c r="I1030" s="89"/>
      <c r="J1030" s="93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2"/>
      <c r="C1031" s="278"/>
      <c r="D1031" s="28" t="s">
        <v>759</v>
      </c>
      <c r="E1031" s="103">
        <f>COUNTA(D11:D603)+COUNTA(D605:D1029)</f>
        <v>85</v>
      </c>
      <c r="F1031" s="279"/>
      <c r="G1031" s="280"/>
      <c r="H1031" s="273"/>
      <c r="I1031" s="149"/>
      <c r="J1031" s="28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2"/>
      <c r="C1032" s="282"/>
      <c r="D1032" s="28" t="s">
        <v>760</v>
      </c>
      <c r="E1032" s="103">
        <f>COUNTA(E11:E603)+COUNTA(E605:E1029)</f>
        <v>508</v>
      </c>
      <c r="F1032" s="279"/>
      <c r="G1032" s="283"/>
      <c r="H1032" s="284"/>
      <c r="I1032" s="267"/>
      <c r="J1032" s="285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2"/>
      <c r="C1033" s="282"/>
      <c r="D1033" s="28" t="s">
        <v>175</v>
      </c>
      <c r="E1033" s="103">
        <f>COUNTIF(J11:J603,'OBSERVAÇÕES'!D9)+COUNTIF(J605:J1029,'OBSERVAÇÕES'!D9)</f>
        <v>70</v>
      </c>
      <c r="F1033" s="279"/>
      <c r="G1033" s="283"/>
      <c r="H1033" s="284"/>
      <c r="I1033" s="267"/>
      <c r="J1033" s="285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2"/>
      <c r="C1034" s="286"/>
      <c r="D1034" s="28"/>
      <c r="E1034" s="103"/>
      <c r="F1034" s="28" t="s">
        <v>761</v>
      </c>
      <c r="G1034" s="287">
        <f>G610+G616+G622+G628+G634+G640+G646+G652+G658+G664+G670+G676+G682+G688+G694+G700+G706+G712+G718+G724+G730+G736+G742+G748+G754+G760+G766+G772+G778+G784+G790+G796+G802+G808+G814+G820+G826+G832+G838+G844+G856+G862+G863+G868+G874+G880+G886+G892+G898+G904+G910+G916+G922+G928+G934+G940+G946+G952+G958+G964+G970+G976+G982+G988+G994+G1000+G1006+G1012+G1018+G1024+G1030+G604+G598+G592+G586+G580+G574+G568+G562+G556+G550+G544+G538+G532+G526+G520+G514+G508+G502+G496+G490+G484+G478+G472+G466+G460+G454+G448+G442+G436+G430+G424+G418+G412+G406+G400+G394+G388+G382+G376+G370+G364+G358+G352+G346+G340+G334+G328+G322+G316+G310+G304+G298+G292+G286+G280+G274+G268+G262+G256+G250+G244+G238+G232+G226+G220+G214+G202+G196+G190+G184+G178+G208+G172+G166+G160+G154+G148+G142+G136+G130+G124+G118+G112+G106+G100+G94+G88+G82+G76+G70+G58+G64+G52+G46+G40+G34+G28+G22+G16</f>
        <v>175954.42</v>
      </c>
      <c r="H1034" s="288"/>
      <c r="I1034" s="88"/>
      <c r="J1034" s="289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2"/>
      <c r="C1035" s="2"/>
      <c r="D1035" s="1"/>
      <c r="E1035" s="2"/>
      <c r="F1035" s="2"/>
      <c r="G1035" s="6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2"/>
      <c r="C1036" s="2"/>
      <c r="D1036" s="1"/>
      <c r="E1036" s="2"/>
      <c r="F1036" s="2"/>
      <c r="G1036" s="6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2"/>
      <c r="C1037" s="2"/>
      <c r="D1037" s="1"/>
      <c r="E1037" s="2"/>
      <c r="F1037" s="2"/>
      <c r="G1037" s="6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2"/>
      <c r="C1038" s="2"/>
      <c r="D1038" s="1"/>
      <c r="E1038" s="2"/>
      <c r="F1038" s="2"/>
      <c r="G1038" s="6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2"/>
      <c r="C1039" s="2"/>
      <c r="D1039" s="1"/>
      <c r="E1039" s="2"/>
      <c r="F1039" s="2"/>
      <c r="G1039" s="6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2"/>
      <c r="C1040" s="12"/>
      <c r="D1040" s="12" t="s">
        <v>762</v>
      </c>
      <c r="E1040" s="12"/>
      <c r="F1040" s="12"/>
      <c r="G1040" s="6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290"/>
      <c r="B1041" s="290"/>
      <c r="C1041" s="291"/>
      <c r="D1041" s="291" t="s">
        <v>763</v>
      </c>
      <c r="E1041" s="291"/>
      <c r="F1041" s="291"/>
      <c r="G1041" s="292"/>
      <c r="H1041" s="290"/>
      <c r="I1041" s="290"/>
      <c r="J1041" s="290"/>
      <c r="K1041" s="290"/>
      <c r="L1041" s="290"/>
      <c r="M1041" s="290"/>
      <c r="N1041" s="290"/>
      <c r="O1041" s="290"/>
      <c r="P1041" s="290"/>
      <c r="Q1041" s="290"/>
      <c r="R1041" s="290"/>
      <c r="S1041" s="290"/>
      <c r="T1041" s="290"/>
      <c r="U1041" s="290"/>
      <c r="V1041" s="290"/>
      <c r="W1041" s="290"/>
      <c r="X1041" s="290"/>
      <c r="Y1041" s="290"/>
      <c r="Z1041" s="290"/>
    </row>
    <row r="1042">
      <c r="A1042" s="1"/>
      <c r="B1042" s="2"/>
      <c r="C1042" s="12"/>
      <c r="D1042" s="12" t="s">
        <v>764</v>
      </c>
      <c r="E1042" s="12"/>
      <c r="F1042" s="12"/>
      <c r="G1042" s="6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2"/>
      <c r="C1043" s="12"/>
      <c r="D1043" s="12"/>
      <c r="E1043" s="12"/>
      <c r="F1043" s="12"/>
      <c r="G1043" s="6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2"/>
      <c r="C1044" s="12"/>
      <c r="D1044" s="12" t="s">
        <v>765</v>
      </c>
      <c r="E1044" s="12"/>
      <c r="F1044" s="12"/>
      <c r="G1044" s="6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2"/>
      <c r="C1045" s="12"/>
      <c r="D1045" s="12" t="s">
        <v>766</v>
      </c>
      <c r="E1045" s="12"/>
      <c r="F1045" s="12"/>
      <c r="G1045" s="6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</sheetData>
  <mergeCells count="6">
    <mergeCell ref="C1:D1"/>
    <mergeCell ref="C2:E2"/>
    <mergeCell ref="C3:E3"/>
    <mergeCell ref="B4:F4"/>
    <mergeCell ref="G4:J4"/>
    <mergeCell ref="H10:I10"/>
  </mergeCells>
  <printOptions horizontalCentered="1"/>
  <pageMargins bottom="0.3937007874015748" footer="0.0" header="0.0" left="0.2362204724409449" right="0.2362204724409449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27.43"/>
    <col customWidth="1" min="3" max="3" width="19.0"/>
    <col customWidth="1" min="4" max="26" width="8.71"/>
  </cols>
  <sheetData>
    <row r="1">
      <c r="A1" s="7" t="s">
        <v>0</v>
      </c>
      <c r="B1" s="7"/>
      <c r="C1" s="9"/>
      <c r="D1" s="11"/>
    </row>
    <row r="2">
      <c r="A2" s="13" t="s">
        <v>1</v>
      </c>
      <c r="B2" s="13"/>
      <c r="C2" s="13"/>
      <c r="D2" s="11"/>
    </row>
    <row r="3">
      <c r="A3" s="13" t="s">
        <v>2</v>
      </c>
      <c r="B3" s="13"/>
      <c r="C3" s="13"/>
      <c r="D3" s="11"/>
    </row>
    <row r="4">
      <c r="B4" s="15"/>
    </row>
    <row r="5">
      <c r="B5" s="15"/>
      <c r="C5" s="15"/>
      <c r="D5" s="16"/>
      <c r="E5" s="15"/>
      <c r="F5" s="15"/>
      <c r="G5" s="17"/>
    </row>
    <row r="6">
      <c r="A6" s="19" t="s">
        <v>4</v>
      </c>
      <c r="B6" s="11"/>
      <c r="D6" s="2"/>
    </row>
    <row r="7">
      <c r="A7" s="19" t="s">
        <v>5</v>
      </c>
      <c r="B7" s="11"/>
      <c r="D7" s="2"/>
    </row>
    <row r="8">
      <c r="A8" s="19"/>
      <c r="B8" s="11"/>
      <c r="D8" s="2"/>
    </row>
    <row r="9">
      <c r="A9" s="19" t="s">
        <v>6</v>
      </c>
      <c r="B9" s="11"/>
      <c r="D9" s="2"/>
    </row>
    <row r="10">
      <c r="A10" s="19" t="s">
        <v>7</v>
      </c>
      <c r="D10" s="11"/>
    </row>
    <row r="11">
      <c r="D11" s="11"/>
    </row>
    <row r="13">
      <c r="A13" s="20" t="s">
        <v>8</v>
      </c>
      <c r="B13" s="20" t="s">
        <v>9</v>
      </c>
      <c r="C13" s="22" t="s">
        <v>10</v>
      </c>
    </row>
    <row r="14">
      <c r="A14" s="25" t="s">
        <v>16</v>
      </c>
      <c r="B14" s="32">
        <f>COUNTIF('JULHO  2026'!H11:H599,'por medico'!A14)+COUNTIF('JULHO  2026'!H605:H1030,'por medico'!A14)</f>
        <v>32</v>
      </c>
      <c r="C14" s="33"/>
    </row>
    <row r="15">
      <c r="A15" s="34" t="s">
        <v>30</v>
      </c>
      <c r="B15" s="32">
        <f>COUNTIF('JULHO  2026'!H11:H599,'por medico'!A15)+COUNTIF('JULHO  2026'!H605:H1030,'por medico'!A15)</f>
        <v>10</v>
      </c>
      <c r="C15" s="33"/>
    </row>
    <row r="16">
      <c r="A16" s="25" t="s">
        <v>31</v>
      </c>
      <c r="B16" s="32">
        <f>COUNTIF('JULHO  2026'!H11:H599,'por medico'!A16)+COUNTIF('JULHO  2026'!H605:H1030,'por medico'!A16)</f>
        <v>4</v>
      </c>
      <c r="C16" s="33"/>
    </row>
    <row r="17">
      <c r="A17" s="35" t="s">
        <v>32</v>
      </c>
      <c r="B17" s="32">
        <f>COUNTIF('JULHO  2026'!H11:H599,'por medico'!A17)+COUNTIF('JULHO  2026'!H605:H1030,'por medico'!A17)</f>
        <v>26</v>
      </c>
      <c r="C17" s="33"/>
    </row>
    <row r="18">
      <c r="A18" s="35" t="s">
        <v>33</v>
      </c>
      <c r="B18" s="32">
        <f>COUNTIF('JULHO  2026'!H11:H599,'por medico'!A18)+COUNTIF('JULHO  2026'!H605:H1030,'por medico'!A18)</f>
        <v>0</v>
      </c>
      <c r="C18" s="33"/>
    </row>
    <row r="19">
      <c r="A19" s="25" t="s">
        <v>34</v>
      </c>
      <c r="B19" s="32">
        <f>COUNTIF('JULHO  2026'!H11:H599,'por medico'!A19)+COUNTIF('JULHO  2026'!H605:H1030,'por medico'!A19)</f>
        <v>12</v>
      </c>
      <c r="C19" s="33"/>
    </row>
    <row r="20">
      <c r="A20" s="35" t="s">
        <v>35</v>
      </c>
      <c r="B20" s="32">
        <f>COUNTIF('JULHO  2026'!H11:H599,'por medico'!A20)+COUNTIF('JULHO  2026'!H605:H1030,'por medico'!A20)</f>
        <v>0</v>
      </c>
      <c r="C20" s="33"/>
    </row>
    <row r="21" ht="15.75" customHeight="1">
      <c r="A21" s="35" t="s">
        <v>36</v>
      </c>
      <c r="B21" s="32">
        <f>COUNTIF('JULHO  2026'!H11:H599,'por medico'!A21)+COUNTIF('JULHO  2026'!H605:H1030,'por medico'!A21)</f>
        <v>48</v>
      </c>
      <c r="C21" s="33"/>
    </row>
    <row r="22" ht="15.75" customHeight="1">
      <c r="A22" s="35" t="s">
        <v>37</v>
      </c>
      <c r="B22" s="32">
        <f>COUNTIF('JULHO  2026'!H11:H599,'por medico'!A22)+COUNTIF('JULHO  2026'!H605:H1030,'por medico'!A22)</f>
        <v>0</v>
      </c>
      <c r="C22" s="33"/>
    </row>
    <row r="23" ht="15.75" customHeight="1">
      <c r="A23" s="35" t="s">
        <v>38</v>
      </c>
      <c r="B23" s="32">
        <f>COUNTIF('JULHO  2026'!H11:H599,'por medico'!A23)+COUNTIF('JULHO  2026'!H605:H1030,'por medico'!A23)</f>
        <v>35</v>
      </c>
      <c r="C23" s="33"/>
    </row>
    <row r="24" ht="15.75" customHeight="1">
      <c r="A24" s="35" t="s">
        <v>39</v>
      </c>
      <c r="B24" s="32">
        <f>COUNTIF('JULHO  2026'!H11:H599,'por medico'!A24)+COUNTIF('JULHO  2026'!H605:H1030,'por medico'!A24)</f>
        <v>3</v>
      </c>
      <c r="C24" s="33"/>
    </row>
    <row r="25" ht="15.75" customHeight="1">
      <c r="A25" s="35" t="s">
        <v>41</v>
      </c>
      <c r="B25" s="32">
        <f>COUNTIF('JULHO  2026'!H11:H599,'por medico'!A25)+COUNTIF('JULHO  2026'!H605:H1030,'por medico'!A25)</f>
        <v>0</v>
      </c>
      <c r="C25" s="33"/>
    </row>
    <row r="26" ht="15.75" customHeight="1">
      <c r="A26" s="35" t="s">
        <v>42</v>
      </c>
      <c r="B26" s="32">
        <f>COUNTIF('JULHO  2026'!H11:H599,'por medico'!A26)+COUNTIF('JULHO  2026'!H605:H1030,'por medico'!A26)</f>
        <v>0</v>
      </c>
      <c r="C26" s="33"/>
    </row>
    <row r="27" ht="15.75" customHeight="1">
      <c r="A27" s="35" t="s">
        <v>44</v>
      </c>
      <c r="B27" s="32">
        <f>COUNTIF('JULHO  2026'!H11:H599,'por medico'!A27)+COUNTIF('JULHO  2026'!H605:H1030,'por medico'!A27)</f>
        <v>0</v>
      </c>
      <c r="C27" s="33"/>
    </row>
    <row r="28" ht="15.75" customHeight="1">
      <c r="A28" s="42" t="s">
        <v>46</v>
      </c>
      <c r="B28" s="46">
        <f t="shared" ref="B28:C28" si="1">SUM(B14:B27)</f>
        <v>170</v>
      </c>
      <c r="C28" s="50">
        <f t="shared" si="1"/>
        <v>0</v>
      </c>
      <c r="D28" s="53"/>
      <c r="E28" s="53"/>
      <c r="F28" s="53"/>
      <c r="G28" s="53"/>
      <c r="H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5.75" customHeight="1"/>
    <row r="30" ht="15.75" customHeight="1"/>
    <row r="31" ht="15.75" customHeight="1"/>
    <row r="32" ht="15.75" customHeight="1">
      <c r="A32" s="20" t="s">
        <v>8</v>
      </c>
      <c r="B32" s="20" t="s">
        <v>9</v>
      </c>
      <c r="C32" s="22" t="s">
        <v>10</v>
      </c>
    </row>
    <row r="33" ht="15.75" customHeight="1">
      <c r="A33" s="25"/>
      <c r="B33" s="32"/>
      <c r="C33" s="33"/>
    </row>
    <row r="34" ht="15.75" customHeight="1">
      <c r="A34" s="57"/>
      <c r="B34" s="32"/>
      <c r="C34" s="33"/>
    </row>
    <row r="35" ht="15.75" customHeight="1">
      <c r="A35" s="25"/>
      <c r="B35" s="32"/>
      <c r="C35" s="33"/>
    </row>
    <row r="36" ht="15.75" customHeight="1">
      <c r="A36" s="25"/>
      <c r="B36" s="32"/>
      <c r="C36" s="33"/>
    </row>
    <row r="37" ht="15.75" customHeight="1">
      <c r="A37" s="25"/>
      <c r="B37" s="32"/>
      <c r="C37" s="33"/>
    </row>
    <row r="38" ht="15.75" customHeight="1">
      <c r="A38" s="25"/>
      <c r="B38" s="32"/>
      <c r="C38" s="33"/>
    </row>
    <row r="39" ht="15.75" customHeight="1">
      <c r="A39" s="25"/>
      <c r="B39" s="32"/>
      <c r="C39" s="33"/>
    </row>
    <row r="40" ht="15.75" customHeight="1">
      <c r="A40" s="25"/>
      <c r="B40" s="32"/>
      <c r="C40" s="33"/>
    </row>
    <row r="41" ht="15.75" customHeight="1">
      <c r="A41" s="25"/>
      <c r="B41" s="32"/>
      <c r="C41" s="33"/>
    </row>
    <row r="42" ht="15.75" customHeight="1">
      <c r="A42" s="25"/>
      <c r="B42" s="32"/>
      <c r="C42" s="33"/>
    </row>
    <row r="43" ht="15.75" customHeight="1">
      <c r="A43" s="25"/>
      <c r="B43" s="32"/>
      <c r="C43" s="33"/>
    </row>
    <row r="44" ht="15.75" customHeight="1">
      <c r="A44" s="25"/>
      <c r="B44" s="32"/>
      <c r="C44" s="33"/>
    </row>
    <row r="45" ht="15.75" customHeight="1">
      <c r="A45" s="25"/>
      <c r="B45" s="32"/>
      <c r="C45" s="33"/>
    </row>
    <row r="46" ht="15.75" customHeight="1">
      <c r="A46" s="25"/>
      <c r="B46" s="32"/>
      <c r="C46" s="33"/>
    </row>
    <row r="47" ht="15.75" customHeight="1">
      <c r="A47" s="42" t="s">
        <v>46</v>
      </c>
      <c r="B47" s="46">
        <f t="shared" ref="B47:C47" si="2">SUM(B33:B46)</f>
        <v>0</v>
      </c>
      <c r="C47" s="50">
        <f t="shared" si="2"/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G5:J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63.14"/>
    <col customWidth="1" min="3" max="3" width="16.71"/>
    <col customWidth="1" min="4" max="4" width="16.0"/>
    <col customWidth="1" min="5" max="5" width="15.14"/>
    <col customWidth="1" min="6" max="10" width="8.71"/>
    <col customWidth="1" min="11" max="11" width="12.71"/>
    <col customWidth="1" min="12" max="26" width="8.71"/>
  </cols>
  <sheetData>
    <row r="1">
      <c r="A1" s="7" t="s">
        <v>0</v>
      </c>
      <c r="B1" s="7"/>
      <c r="C1" s="7"/>
      <c r="D1" s="9"/>
      <c r="E1" s="11"/>
    </row>
    <row r="2">
      <c r="A2" s="13" t="s">
        <v>1</v>
      </c>
      <c r="B2" s="13"/>
      <c r="C2" s="13"/>
      <c r="D2" s="13"/>
      <c r="E2" s="11"/>
    </row>
    <row r="3">
      <c r="A3" s="13" t="s">
        <v>2</v>
      </c>
      <c r="B3" s="13"/>
      <c r="C3" s="13"/>
      <c r="D3" s="13"/>
      <c r="E3" s="11"/>
    </row>
    <row r="4">
      <c r="B4" s="15"/>
    </row>
    <row r="5">
      <c r="B5" s="15"/>
      <c r="C5" s="15"/>
      <c r="D5" s="15"/>
      <c r="E5" s="16"/>
    </row>
    <row r="6">
      <c r="A6" s="19" t="s">
        <v>4</v>
      </c>
      <c r="B6" s="11"/>
      <c r="C6" s="11"/>
      <c r="E6" s="2"/>
    </row>
    <row r="7">
      <c r="A7" s="19" t="s">
        <v>5</v>
      </c>
      <c r="B7" s="11"/>
      <c r="C7" s="11"/>
      <c r="E7" s="2"/>
    </row>
    <row r="8">
      <c r="A8" s="19"/>
      <c r="B8" s="11"/>
      <c r="C8" s="11"/>
      <c r="E8" s="2"/>
    </row>
    <row r="9">
      <c r="A9" s="19" t="s">
        <v>12</v>
      </c>
      <c r="B9" s="11"/>
      <c r="C9" s="11"/>
      <c r="E9" s="2"/>
    </row>
    <row r="10">
      <c r="A10" s="19" t="s">
        <v>13</v>
      </c>
      <c r="E10" s="11"/>
    </row>
    <row r="11">
      <c r="E11" s="11"/>
    </row>
    <row r="12">
      <c r="A12" s="23" t="s">
        <v>15</v>
      </c>
      <c r="B12" s="23" t="s">
        <v>17</v>
      </c>
      <c r="C12" s="23" t="s">
        <v>18</v>
      </c>
      <c r="D12" s="26" t="s">
        <v>19</v>
      </c>
      <c r="E12" s="23" t="s">
        <v>24</v>
      </c>
    </row>
    <row r="13">
      <c r="A13" s="36" t="s">
        <v>25</v>
      </c>
      <c r="B13" s="39" t="s">
        <v>40</v>
      </c>
      <c r="C13" s="43">
        <v>522.48</v>
      </c>
      <c r="D13" s="45">
        <f>'CALCULOS EXTRAS'!A6</f>
        <v>0</v>
      </c>
      <c r="E13" s="48">
        <f t="shared" ref="E13:E35" si="1">D13*C13</f>
        <v>0</v>
      </c>
      <c r="F13" s="37"/>
    </row>
    <row r="14">
      <c r="A14" s="36" t="s">
        <v>69</v>
      </c>
      <c r="B14" s="39" t="s">
        <v>70</v>
      </c>
      <c r="C14" s="49">
        <v>391.86</v>
      </c>
      <c r="D14" s="45">
        <f>'CALCULOS EXTRAS'!A7</f>
        <v>0</v>
      </c>
      <c r="E14" s="48">
        <f t="shared" si="1"/>
        <v>0</v>
      </c>
    </row>
    <row r="15">
      <c r="A15" s="36" t="s">
        <v>81</v>
      </c>
      <c r="B15" s="39" t="s">
        <v>82</v>
      </c>
      <c r="C15" s="49">
        <v>391.86</v>
      </c>
      <c r="D15" s="45">
        <f>'CALCULOS EXTRAS'!A8</f>
        <v>0</v>
      </c>
      <c r="E15" s="48">
        <f t="shared" si="1"/>
        <v>0</v>
      </c>
    </row>
    <row r="16">
      <c r="A16" s="36" t="s">
        <v>83</v>
      </c>
      <c r="B16" s="39" t="s">
        <v>84</v>
      </c>
      <c r="C16" s="49">
        <v>671.94</v>
      </c>
      <c r="D16" s="45">
        <f>'CALCULOS EXTRAS'!A9</f>
        <v>0</v>
      </c>
      <c r="E16" s="48">
        <f t="shared" si="1"/>
        <v>0</v>
      </c>
    </row>
    <row r="17">
      <c r="A17" s="36" t="s">
        <v>85</v>
      </c>
      <c r="B17" s="54" t="s">
        <v>86</v>
      </c>
      <c r="C17" s="49">
        <v>671.94</v>
      </c>
      <c r="D17" s="45">
        <f>'CALCULOS EXTRAS'!A10</f>
        <v>0</v>
      </c>
      <c r="E17" s="48">
        <f t="shared" si="1"/>
        <v>0</v>
      </c>
    </row>
    <row r="18">
      <c r="A18" s="36" t="s">
        <v>117</v>
      </c>
      <c r="B18" s="39" t="s">
        <v>118</v>
      </c>
      <c r="C18" s="43">
        <v>682.08</v>
      </c>
      <c r="D18" s="45">
        <f>'CALCULOS EXTRAS'!A11</f>
        <v>0</v>
      </c>
      <c r="E18" s="48">
        <f t="shared" si="1"/>
        <v>0</v>
      </c>
    </row>
    <row r="19">
      <c r="A19" s="36" t="s">
        <v>119</v>
      </c>
      <c r="B19" s="54" t="s">
        <v>120</v>
      </c>
      <c r="C19" s="43">
        <v>957.6</v>
      </c>
      <c r="D19" s="45">
        <f>'CALCULOS EXTRAS'!A12</f>
        <v>0</v>
      </c>
      <c r="E19" s="48">
        <f t="shared" si="1"/>
        <v>0</v>
      </c>
    </row>
    <row r="20">
      <c r="A20" s="36" t="s">
        <v>123</v>
      </c>
      <c r="B20" s="39" t="s">
        <v>124</v>
      </c>
      <c r="C20" s="49">
        <v>559.82</v>
      </c>
      <c r="D20" s="45">
        <f>'CALCULOS EXTRAS'!A13</f>
        <v>0</v>
      </c>
      <c r="E20" s="48">
        <f t="shared" si="1"/>
        <v>0</v>
      </c>
    </row>
    <row r="21" ht="15.75" customHeight="1">
      <c r="A21" s="36" t="s">
        <v>127</v>
      </c>
      <c r="B21" s="39" t="s">
        <v>128</v>
      </c>
      <c r="C21" s="43">
        <v>286.0</v>
      </c>
      <c r="D21" s="45">
        <f>'CALCULOS EXTRAS'!A14</f>
        <v>0</v>
      </c>
      <c r="E21" s="48">
        <f t="shared" si="1"/>
        <v>0</v>
      </c>
    </row>
    <row r="22" ht="15.75" customHeight="1">
      <c r="A22" s="36" t="s">
        <v>131</v>
      </c>
      <c r="B22" s="39" t="s">
        <v>133</v>
      </c>
      <c r="C22" s="43">
        <v>682.08</v>
      </c>
      <c r="D22" s="45">
        <f>'CALCULOS EXTRAS'!A15</f>
        <v>0</v>
      </c>
      <c r="E22" s="48">
        <f t="shared" si="1"/>
        <v>0</v>
      </c>
    </row>
    <row r="23" ht="15.75" customHeight="1">
      <c r="A23" s="36" t="s">
        <v>136</v>
      </c>
      <c r="B23" s="39" t="s">
        <v>137</v>
      </c>
      <c r="C23" s="43">
        <v>786.5</v>
      </c>
      <c r="D23" s="45">
        <f>'CALCULOS EXTRAS'!A16</f>
        <v>0</v>
      </c>
      <c r="E23" s="48">
        <f t="shared" si="1"/>
        <v>0</v>
      </c>
    </row>
    <row r="24" ht="15.75" customHeight="1">
      <c r="A24" s="36" t="s">
        <v>139</v>
      </c>
      <c r="B24" s="39" t="s">
        <v>140</v>
      </c>
      <c r="C24" s="49">
        <v>1399.44</v>
      </c>
      <c r="D24" s="45">
        <f>'CALCULOS EXTRAS'!A17</f>
        <v>0</v>
      </c>
      <c r="E24" s="48">
        <f t="shared" si="1"/>
        <v>0</v>
      </c>
    </row>
    <row r="25" ht="15.75" customHeight="1">
      <c r="A25" s="36" t="s">
        <v>143</v>
      </c>
      <c r="B25" s="39" t="s">
        <v>144</v>
      </c>
      <c r="C25" s="49">
        <v>896.19</v>
      </c>
      <c r="D25" s="45">
        <f>'CALCULOS EXTRAS'!A18</f>
        <v>0</v>
      </c>
      <c r="E25" s="48">
        <f t="shared" si="1"/>
        <v>0</v>
      </c>
    </row>
    <row r="26" ht="15.75" customHeight="1">
      <c r="A26" s="36" t="s">
        <v>147</v>
      </c>
      <c r="B26" s="39" t="s">
        <v>148</v>
      </c>
      <c r="C26" s="49">
        <v>671.94</v>
      </c>
      <c r="D26" s="45">
        <f>'CALCULOS EXTRAS'!A19</f>
        <v>0</v>
      </c>
      <c r="E26" s="48">
        <f t="shared" si="1"/>
        <v>0</v>
      </c>
    </row>
    <row r="27" ht="15.75" customHeight="1">
      <c r="A27" s="36" t="s">
        <v>151</v>
      </c>
      <c r="B27" s="39" t="s">
        <v>152</v>
      </c>
      <c r="C27" s="49">
        <v>391.91</v>
      </c>
      <c r="D27" s="45">
        <f>'CALCULOS EXTRAS'!A20</f>
        <v>0</v>
      </c>
      <c r="E27" s="48">
        <f t="shared" si="1"/>
        <v>0</v>
      </c>
    </row>
    <row r="28" ht="15.75" customHeight="1">
      <c r="A28" s="36" t="s">
        <v>159</v>
      </c>
      <c r="B28" s="39" t="s">
        <v>160</v>
      </c>
      <c r="C28" s="49">
        <v>392.01</v>
      </c>
      <c r="D28" s="45">
        <f>'CALCULOS EXTRAS'!A21</f>
        <v>0</v>
      </c>
      <c r="E28" s="48">
        <f t="shared" si="1"/>
        <v>0</v>
      </c>
    </row>
    <row r="29" ht="15.75" customHeight="1">
      <c r="A29" s="36" t="s">
        <v>161</v>
      </c>
      <c r="B29" s="39" t="s">
        <v>162</v>
      </c>
      <c r="C29" s="43">
        <v>391.86</v>
      </c>
      <c r="D29" s="45">
        <f>'CALCULOS EXTRAS'!A22</f>
        <v>0</v>
      </c>
      <c r="E29" s="48">
        <f t="shared" si="1"/>
        <v>0</v>
      </c>
    </row>
    <row r="30" ht="15.75" customHeight="1">
      <c r="A30" s="36" t="s">
        <v>163</v>
      </c>
      <c r="B30" s="39" t="s">
        <v>164</v>
      </c>
      <c r="C30" s="43">
        <v>572.0</v>
      </c>
      <c r="D30" s="45">
        <f>'CALCULOS EXTRAS'!A23</f>
        <v>0</v>
      </c>
      <c r="E30" s="48">
        <f t="shared" si="1"/>
        <v>0</v>
      </c>
    </row>
    <row r="31" ht="15.75" customHeight="1">
      <c r="A31" s="36" t="s">
        <v>165</v>
      </c>
      <c r="B31" s="39" t="s">
        <v>166</v>
      </c>
      <c r="C31" s="43">
        <v>559.95</v>
      </c>
      <c r="D31" s="45">
        <f>'CALCULOS EXTRAS'!A24</f>
        <v>0</v>
      </c>
      <c r="E31" s="48">
        <f t="shared" si="1"/>
        <v>0</v>
      </c>
    </row>
    <row r="32" ht="15.75" customHeight="1">
      <c r="A32" s="36" t="s">
        <v>167</v>
      </c>
      <c r="B32" s="39" t="s">
        <v>168</v>
      </c>
      <c r="C32" s="49">
        <v>391.95</v>
      </c>
      <c r="D32" s="45">
        <f>'CALCULOS EXTRAS'!A25</f>
        <v>0</v>
      </c>
      <c r="E32" s="48">
        <f t="shared" si="1"/>
        <v>0</v>
      </c>
    </row>
    <row r="33" ht="15.75" customHeight="1">
      <c r="A33" s="36" t="s">
        <v>169</v>
      </c>
      <c r="B33" s="39" t="s">
        <v>170</v>
      </c>
      <c r="C33" s="49">
        <v>671.94</v>
      </c>
      <c r="D33" s="45">
        <f>'CALCULOS EXTRAS'!A26</f>
        <v>0</v>
      </c>
      <c r="E33" s="48">
        <f t="shared" si="1"/>
        <v>0</v>
      </c>
    </row>
    <row r="34" ht="15.75" customHeight="1">
      <c r="A34" s="36" t="s">
        <v>171</v>
      </c>
      <c r="B34" s="39" t="s">
        <v>172</v>
      </c>
      <c r="C34" s="49">
        <v>483.84</v>
      </c>
      <c r="D34" s="45">
        <f>'CALCULOS EXTRAS'!A27</f>
        <v>0</v>
      </c>
      <c r="E34" s="48">
        <f t="shared" si="1"/>
        <v>0</v>
      </c>
    </row>
    <row r="35" ht="15.75" customHeight="1">
      <c r="A35" s="36" t="s">
        <v>173</v>
      </c>
      <c r="B35" s="39" t="s">
        <v>174</v>
      </c>
      <c r="C35" s="49">
        <v>534.24</v>
      </c>
      <c r="D35" s="45">
        <f>'CALCULOS EXTRAS'!A28</f>
        <v>0</v>
      </c>
      <c r="E35" s="48">
        <f t="shared" si="1"/>
        <v>0</v>
      </c>
    </row>
    <row r="36" ht="15.75" customHeight="1">
      <c r="A36" s="23" t="s">
        <v>15</v>
      </c>
      <c r="B36" s="23" t="s">
        <v>17</v>
      </c>
      <c r="C36" s="23" t="s">
        <v>18</v>
      </c>
      <c r="D36" s="26" t="s">
        <v>19</v>
      </c>
      <c r="E36" s="23" t="s">
        <v>24</v>
      </c>
    </row>
    <row r="37" ht="15.75" customHeight="1">
      <c r="A37" s="36" t="s">
        <v>176</v>
      </c>
      <c r="B37" s="39" t="s">
        <v>177</v>
      </c>
      <c r="C37" s="64">
        <v>671.94</v>
      </c>
      <c r="D37" s="45">
        <f>'CALCULOS EXTRAS'!A29</f>
        <v>0</v>
      </c>
      <c r="E37" s="48">
        <f t="shared" ref="E37:E50" si="2">D37*C37</f>
        <v>0</v>
      </c>
    </row>
    <row r="38" ht="15.75" customHeight="1">
      <c r="A38" s="36" t="s">
        <v>186</v>
      </c>
      <c r="B38" s="39" t="s">
        <v>187</v>
      </c>
      <c r="C38" s="43">
        <v>671.94</v>
      </c>
      <c r="D38" s="45">
        <f>'CALCULOS EXTRAS'!A30</f>
        <v>0</v>
      </c>
      <c r="E38" s="48">
        <f t="shared" si="2"/>
        <v>0</v>
      </c>
    </row>
    <row r="39" ht="15.75" customHeight="1">
      <c r="A39" s="36" t="s">
        <v>190</v>
      </c>
      <c r="B39" s="39" t="s">
        <v>191</v>
      </c>
      <c r="C39" s="43">
        <v>391.86</v>
      </c>
      <c r="D39" s="45">
        <f>'CALCULOS EXTRAS'!A31</f>
        <v>0</v>
      </c>
      <c r="E39" s="48">
        <f t="shared" si="2"/>
        <v>0</v>
      </c>
    </row>
    <row r="40" ht="15.75" customHeight="1">
      <c r="A40" s="36" t="s">
        <v>193</v>
      </c>
      <c r="B40" s="39" t="s">
        <v>195</v>
      </c>
      <c r="C40" s="43">
        <v>682.08</v>
      </c>
      <c r="D40" s="45">
        <f>'CALCULOS EXTRAS'!A32</f>
        <v>0</v>
      </c>
      <c r="E40" s="48">
        <f t="shared" si="2"/>
        <v>0</v>
      </c>
    </row>
    <row r="41" ht="15.75" customHeight="1">
      <c r="A41" s="36" t="s">
        <v>199</v>
      </c>
      <c r="B41" s="39" t="s">
        <v>200</v>
      </c>
      <c r="C41" s="43">
        <v>488.99</v>
      </c>
      <c r="D41" s="45">
        <f>'CALCULOS EXTRAS'!A33</f>
        <v>0</v>
      </c>
      <c r="E41" s="48">
        <f t="shared" si="2"/>
        <v>0</v>
      </c>
    </row>
    <row r="42" ht="15.75" customHeight="1">
      <c r="A42" s="36" t="s">
        <v>203</v>
      </c>
      <c r="B42" s="67" t="s">
        <v>205</v>
      </c>
      <c r="C42" s="43">
        <v>682.08</v>
      </c>
      <c r="D42" s="45">
        <f>'CALCULOS EXTRAS'!A34</f>
        <v>0</v>
      </c>
      <c r="E42" s="48">
        <f t="shared" si="2"/>
        <v>0</v>
      </c>
    </row>
    <row r="43" ht="15.75" customHeight="1">
      <c r="A43" s="36" t="s">
        <v>210</v>
      </c>
      <c r="B43" s="69" t="s">
        <v>212</v>
      </c>
      <c r="C43" s="64">
        <v>682.08</v>
      </c>
      <c r="D43" s="45">
        <f>'CALCULOS EXTRAS'!A35</f>
        <v>0</v>
      </c>
      <c r="E43" s="48">
        <f t="shared" si="2"/>
        <v>0</v>
      </c>
    </row>
    <row r="44" ht="15.75" customHeight="1">
      <c r="A44" s="36" t="s">
        <v>213</v>
      </c>
      <c r="B44" s="69" t="s">
        <v>214</v>
      </c>
      <c r="C44" s="43">
        <v>682.08</v>
      </c>
      <c r="D44" s="45">
        <f>'CALCULOS EXTRAS'!A36</f>
        <v>0</v>
      </c>
      <c r="E44" s="48">
        <f t="shared" si="2"/>
        <v>0</v>
      </c>
    </row>
    <row r="45" ht="15.75" customHeight="1">
      <c r="A45" s="36" t="s">
        <v>215</v>
      </c>
      <c r="B45" s="39" t="s">
        <v>216</v>
      </c>
      <c r="C45" s="43">
        <v>391.86</v>
      </c>
      <c r="D45" s="45">
        <f>'CALCULOS EXTRAS'!A37</f>
        <v>0</v>
      </c>
      <c r="E45" s="48">
        <f t="shared" si="2"/>
        <v>0</v>
      </c>
    </row>
    <row r="46" ht="15.75" customHeight="1">
      <c r="A46" s="36" t="s">
        <v>217</v>
      </c>
      <c r="B46" s="39" t="s">
        <v>218</v>
      </c>
      <c r="C46" s="49">
        <v>559.95</v>
      </c>
      <c r="D46" s="45">
        <f>'CALCULOS EXTRAS'!A38</f>
        <v>0</v>
      </c>
      <c r="E46" s="48">
        <f t="shared" si="2"/>
        <v>0</v>
      </c>
    </row>
    <row r="47" ht="15.75" customHeight="1">
      <c r="A47" s="36" t="s">
        <v>219</v>
      </c>
      <c r="B47" s="67" t="s">
        <v>220</v>
      </c>
      <c r="C47" s="49">
        <v>107.52</v>
      </c>
      <c r="D47" s="45">
        <f>'CALCULOS EXTRAS'!A39</f>
        <v>0</v>
      </c>
      <c r="E47" s="48">
        <f t="shared" si="2"/>
        <v>0</v>
      </c>
    </row>
    <row r="48" ht="15.75" customHeight="1">
      <c r="A48" s="36" t="s">
        <v>221</v>
      </c>
      <c r="B48" s="39" t="s">
        <v>222</v>
      </c>
      <c r="C48" s="49">
        <v>286.0</v>
      </c>
      <c r="D48" s="45">
        <f>'CALCULOS EXTRAS'!A40</f>
        <v>0</v>
      </c>
      <c r="E48" s="48">
        <f t="shared" si="2"/>
        <v>0</v>
      </c>
    </row>
    <row r="49" ht="15.75" customHeight="1">
      <c r="A49" s="36" t="s">
        <v>223</v>
      </c>
      <c r="B49" s="39" t="s">
        <v>224</v>
      </c>
      <c r="C49" s="49">
        <v>107.52</v>
      </c>
      <c r="D49" s="45">
        <f>'CALCULOS EXTRAS'!A41</f>
        <v>0</v>
      </c>
      <c r="E49" s="48">
        <f t="shared" si="2"/>
        <v>0</v>
      </c>
    </row>
    <row r="50" ht="15.75" customHeight="1">
      <c r="A50" s="36" t="s">
        <v>227</v>
      </c>
      <c r="B50" s="39" t="s">
        <v>228</v>
      </c>
      <c r="C50" s="49">
        <v>858.0</v>
      </c>
      <c r="D50" s="45">
        <f>'CALCULOS EXTRAS'!A42</f>
        <v>0</v>
      </c>
      <c r="E50" s="48">
        <f t="shared" si="2"/>
        <v>0</v>
      </c>
      <c r="K50" s="73"/>
    </row>
    <row r="51" ht="15.75" customHeight="1">
      <c r="A51" s="74"/>
      <c r="B51" s="76" t="s">
        <v>243</v>
      </c>
      <c r="C51" s="79"/>
      <c r="D51" s="81">
        <f t="shared" ref="D51:E51" si="3">SUM(D13:D35)+SUM(D37:D50)</f>
        <v>0</v>
      </c>
      <c r="E51" s="84">
        <f t="shared" si="3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E4"/>
  </mergeCells>
  <printOptions/>
  <pageMargins bottom="0.1968503937007874" footer="0.0" header="0.0" left="0.5118110236220472" right="0.5118110236220472" top="0.1968503937007874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81.43"/>
    <col customWidth="1" min="3" max="3" width="14.43"/>
    <col customWidth="1" min="4" max="4" width="12.0"/>
    <col customWidth="1" min="5" max="5" width="15.14"/>
    <col customWidth="1" min="6" max="7" width="8.71"/>
    <col customWidth="1" min="8" max="8" width="11.71"/>
    <col customWidth="1" min="9" max="26" width="8.71"/>
  </cols>
  <sheetData>
    <row r="1">
      <c r="A1" s="7" t="s">
        <v>0</v>
      </c>
      <c r="B1" s="7"/>
      <c r="C1" s="7"/>
      <c r="D1" s="9"/>
      <c r="E1" s="11"/>
    </row>
    <row r="2">
      <c r="A2" s="13" t="s">
        <v>1</v>
      </c>
      <c r="B2" s="13"/>
      <c r="C2" s="13"/>
      <c r="D2" s="13"/>
      <c r="E2" s="11"/>
    </row>
    <row r="3">
      <c r="A3" s="13" t="s">
        <v>2</v>
      </c>
      <c r="B3" s="13"/>
      <c r="C3" s="13"/>
      <c r="D3" s="13"/>
      <c r="E3" s="11"/>
    </row>
    <row r="4">
      <c r="B4" s="15"/>
      <c r="H4" s="17"/>
    </row>
    <row r="5">
      <c r="B5" s="15"/>
      <c r="C5" s="15"/>
      <c r="D5" s="15"/>
      <c r="E5" s="16"/>
      <c r="F5" s="15"/>
      <c r="G5" s="15"/>
      <c r="H5" s="17"/>
      <c r="I5" s="17"/>
      <c r="J5" s="17"/>
      <c r="K5" s="17"/>
    </row>
    <row r="6">
      <c r="A6" s="19" t="s">
        <v>4</v>
      </c>
      <c r="B6" s="11"/>
      <c r="C6" s="11"/>
      <c r="E6" s="2"/>
    </row>
    <row r="7">
      <c r="A7" s="19" t="s">
        <v>5</v>
      </c>
      <c r="B7" s="11"/>
      <c r="C7" s="11"/>
      <c r="E7" s="2"/>
    </row>
    <row r="8">
      <c r="A8" s="19"/>
      <c r="B8" s="11"/>
      <c r="C8" s="11"/>
      <c r="E8" s="2"/>
    </row>
    <row r="9">
      <c r="A9" s="19" t="s">
        <v>22</v>
      </c>
      <c r="B9" s="11"/>
      <c r="C9" s="11"/>
      <c r="E9" s="2"/>
    </row>
    <row r="10">
      <c r="A10" s="19" t="s">
        <v>7</v>
      </c>
    </row>
    <row r="12">
      <c r="A12" s="23" t="s">
        <v>15</v>
      </c>
      <c r="B12" s="23" t="s">
        <v>17</v>
      </c>
      <c r="C12" s="23" t="s">
        <v>18</v>
      </c>
      <c r="D12" s="27" t="s">
        <v>23</v>
      </c>
      <c r="E12" s="23" t="s">
        <v>24</v>
      </c>
    </row>
    <row r="13">
      <c r="A13" s="37" t="s">
        <v>26</v>
      </c>
      <c r="B13" s="41" t="s">
        <v>43</v>
      </c>
      <c r="C13" s="34">
        <v>1155.78</v>
      </c>
      <c r="D13" s="45">
        <f>'CALCULOS EXTRAS'!B6</f>
        <v>0</v>
      </c>
      <c r="E13" s="33">
        <f t="shared" ref="E13:E38" si="1">D13*C13</f>
        <v>0</v>
      </c>
    </row>
    <row r="14">
      <c r="A14" s="37" t="s">
        <v>48</v>
      </c>
      <c r="B14" s="41" t="s">
        <v>49</v>
      </c>
      <c r="C14" s="34">
        <v>611.0</v>
      </c>
      <c r="D14" s="45">
        <f>'CALCULOS EXTRAS'!B7</f>
        <v>0</v>
      </c>
      <c r="E14" s="33">
        <f t="shared" si="1"/>
        <v>0</v>
      </c>
    </row>
    <row r="15">
      <c r="A15" s="37" t="s">
        <v>50</v>
      </c>
      <c r="B15" s="41" t="s">
        <v>51</v>
      </c>
      <c r="C15" s="34">
        <v>470.0</v>
      </c>
      <c r="D15" s="45">
        <f>'CALCULOS EXTRAS'!B8</f>
        <v>0</v>
      </c>
      <c r="E15" s="33">
        <f t="shared" si="1"/>
        <v>0</v>
      </c>
    </row>
    <row r="16">
      <c r="A16" s="37" t="s">
        <v>52</v>
      </c>
      <c r="B16" s="41" t="s">
        <v>53</v>
      </c>
      <c r="C16" s="34">
        <v>350.0</v>
      </c>
      <c r="D16" s="45">
        <f>'CALCULOS EXTRAS'!B9</f>
        <v>0</v>
      </c>
      <c r="E16" s="33">
        <f t="shared" si="1"/>
        <v>0</v>
      </c>
    </row>
    <row r="17">
      <c r="A17" s="37" t="s">
        <v>54</v>
      </c>
      <c r="B17" s="41" t="s">
        <v>55</v>
      </c>
      <c r="C17" s="34">
        <v>1155.78</v>
      </c>
      <c r="D17" s="45">
        <f>'CALCULOS EXTRAS'!B10</f>
        <v>0</v>
      </c>
      <c r="E17" s="33">
        <f t="shared" si="1"/>
        <v>0</v>
      </c>
    </row>
    <row r="18">
      <c r="A18" s="37" t="s">
        <v>56</v>
      </c>
      <c r="B18" s="41" t="s">
        <v>57</v>
      </c>
      <c r="C18" s="34">
        <v>611.0</v>
      </c>
      <c r="D18" s="45">
        <f>'CALCULOS EXTRAS'!B11</f>
        <v>0</v>
      </c>
      <c r="E18" s="33">
        <f t="shared" si="1"/>
        <v>0</v>
      </c>
    </row>
    <row r="19">
      <c r="A19" s="37" t="s">
        <v>59</v>
      </c>
      <c r="B19" s="41" t="s">
        <v>60</v>
      </c>
      <c r="C19" s="34">
        <v>470.0</v>
      </c>
      <c r="D19" s="45">
        <f>'CALCULOS EXTRAS'!B12</f>
        <v>0</v>
      </c>
      <c r="E19" s="33">
        <f t="shared" si="1"/>
        <v>0</v>
      </c>
    </row>
    <row r="20">
      <c r="A20" s="37" t="s">
        <v>61</v>
      </c>
      <c r="B20" s="41" t="s">
        <v>62</v>
      </c>
      <c r="C20" s="34">
        <v>638.76</v>
      </c>
      <c r="D20" s="45">
        <f>'CALCULOS EXTRAS'!B13</f>
        <v>0</v>
      </c>
      <c r="E20" s="33">
        <f t="shared" si="1"/>
        <v>0</v>
      </c>
    </row>
    <row r="21" ht="15.75" customHeight="1">
      <c r="A21" s="37" t="s">
        <v>63</v>
      </c>
      <c r="B21" s="41" t="s">
        <v>64</v>
      </c>
      <c r="C21" s="34">
        <v>1155.78</v>
      </c>
      <c r="D21" s="45">
        <f>'CALCULOS EXTRAS'!B14</f>
        <v>0</v>
      </c>
      <c r="E21" s="33">
        <f t="shared" si="1"/>
        <v>0</v>
      </c>
    </row>
    <row r="22" ht="15.75" customHeight="1">
      <c r="A22" s="37" t="s">
        <v>65</v>
      </c>
      <c r="B22" s="41" t="s">
        <v>66</v>
      </c>
      <c r="C22" s="34">
        <v>1155.78</v>
      </c>
      <c r="D22" s="45">
        <f>'CALCULOS EXTRAS'!B15</f>
        <v>0</v>
      </c>
      <c r="E22" s="33">
        <f t="shared" si="1"/>
        <v>0</v>
      </c>
    </row>
    <row r="23" ht="15.75" customHeight="1">
      <c r="A23" s="37" t="s">
        <v>67</v>
      </c>
      <c r="B23" s="41" t="s">
        <v>68</v>
      </c>
      <c r="C23" s="34">
        <v>470.0</v>
      </c>
      <c r="D23" s="45">
        <f>'CALCULOS EXTRAS'!B16</f>
        <v>0</v>
      </c>
      <c r="E23" s="33">
        <f t="shared" si="1"/>
        <v>0</v>
      </c>
    </row>
    <row r="24" ht="15.75" customHeight="1">
      <c r="A24" s="37" t="s">
        <v>71</v>
      </c>
      <c r="B24" s="41" t="s">
        <v>72</v>
      </c>
      <c r="C24" s="34">
        <v>470.0</v>
      </c>
      <c r="D24" s="45">
        <f>'CALCULOS EXTRAS'!B17</f>
        <v>0</v>
      </c>
      <c r="E24" s="33">
        <f t="shared" si="1"/>
        <v>0</v>
      </c>
    </row>
    <row r="25" ht="15.75" customHeight="1">
      <c r="A25" s="37" t="s">
        <v>73</v>
      </c>
      <c r="B25" s="41" t="s">
        <v>74</v>
      </c>
      <c r="C25" s="34">
        <v>611.0</v>
      </c>
      <c r="D25" s="45">
        <f>'CALCULOS EXTRAS'!B18</f>
        <v>0</v>
      </c>
      <c r="E25" s="33">
        <f t="shared" si="1"/>
        <v>0</v>
      </c>
    </row>
    <row r="26" ht="15.75" customHeight="1">
      <c r="A26" s="37" t="s">
        <v>75</v>
      </c>
      <c r="B26" s="41" t="s">
        <v>76</v>
      </c>
      <c r="C26" s="34">
        <v>770.95</v>
      </c>
      <c r="D26" s="45">
        <f>'CALCULOS EXTRAS'!B19</f>
        <v>0</v>
      </c>
      <c r="E26" s="33">
        <f t="shared" si="1"/>
        <v>0</v>
      </c>
    </row>
    <row r="27" ht="15.75" customHeight="1">
      <c r="A27" s="37" t="s">
        <v>77</v>
      </c>
      <c r="B27" s="41" t="s">
        <v>78</v>
      </c>
      <c r="C27" s="34">
        <v>770.95</v>
      </c>
      <c r="D27" s="45">
        <f>'CALCULOS EXTRAS'!B20</f>
        <v>0</v>
      </c>
      <c r="E27" s="33">
        <f t="shared" si="1"/>
        <v>0</v>
      </c>
    </row>
    <row r="28" ht="15.75" customHeight="1">
      <c r="A28" s="37" t="s">
        <v>79</v>
      </c>
      <c r="B28" s="41" t="s">
        <v>80</v>
      </c>
      <c r="C28" s="52">
        <v>770.95</v>
      </c>
      <c r="D28" s="45">
        <f>'CALCULOS EXTRAS'!B21</f>
        <v>0</v>
      </c>
      <c r="E28" s="33">
        <f t="shared" si="1"/>
        <v>0</v>
      </c>
    </row>
    <row r="29" ht="15.75" customHeight="1">
      <c r="A29" s="37" t="s">
        <v>87</v>
      </c>
      <c r="B29" s="41" t="s">
        <v>88</v>
      </c>
      <c r="C29" s="52">
        <v>611.0</v>
      </c>
      <c r="D29" s="45">
        <f>'CALCULOS EXTRAS'!B22</f>
        <v>0</v>
      </c>
      <c r="E29" s="33">
        <f t="shared" si="1"/>
        <v>0</v>
      </c>
    </row>
    <row r="30" ht="15.75" customHeight="1">
      <c r="A30" s="37" t="s">
        <v>89</v>
      </c>
      <c r="B30" s="41" t="s">
        <v>90</v>
      </c>
      <c r="C30" s="52">
        <v>611.0</v>
      </c>
      <c r="D30" s="45">
        <f>'CALCULOS EXTRAS'!B23</f>
        <v>0</v>
      </c>
      <c r="E30" s="33">
        <f t="shared" si="1"/>
        <v>0</v>
      </c>
    </row>
    <row r="31" ht="15.75" customHeight="1">
      <c r="A31" s="37" t="s">
        <v>91</v>
      </c>
      <c r="B31" s="41" t="s">
        <v>92</v>
      </c>
      <c r="C31" s="52">
        <v>611.0</v>
      </c>
      <c r="D31" s="45">
        <f>'CALCULOS EXTRAS'!B24</f>
        <v>0</v>
      </c>
      <c r="E31" s="33">
        <f t="shared" si="1"/>
        <v>0</v>
      </c>
    </row>
    <row r="32" ht="15.75" customHeight="1">
      <c r="A32" s="37" t="s">
        <v>93</v>
      </c>
      <c r="B32" s="41" t="s">
        <v>94</v>
      </c>
      <c r="C32" s="52">
        <v>611.0</v>
      </c>
      <c r="D32" s="45">
        <f>'CALCULOS EXTRAS'!B25</f>
        <v>0</v>
      </c>
      <c r="E32" s="33">
        <f t="shared" si="1"/>
        <v>0</v>
      </c>
    </row>
    <row r="33" ht="15.75" customHeight="1">
      <c r="A33" s="37" t="s">
        <v>95</v>
      </c>
      <c r="B33" s="41" t="s">
        <v>96</v>
      </c>
      <c r="C33" s="52">
        <v>611.0</v>
      </c>
      <c r="D33" s="45">
        <f>'CALCULOS EXTRAS'!B26</f>
        <v>0</v>
      </c>
      <c r="E33" s="33">
        <f t="shared" si="1"/>
        <v>0</v>
      </c>
    </row>
    <row r="34" ht="15.75" customHeight="1">
      <c r="A34" s="37" t="s">
        <v>97</v>
      </c>
      <c r="B34" s="41" t="s">
        <v>98</v>
      </c>
      <c r="C34" s="52">
        <v>611.0</v>
      </c>
      <c r="D34" s="45">
        <f>'CALCULOS EXTRAS'!B27</f>
        <v>0</v>
      </c>
      <c r="E34" s="33">
        <f t="shared" si="1"/>
        <v>0</v>
      </c>
    </row>
    <row r="35" ht="15.75" customHeight="1">
      <c r="A35" s="37" t="s">
        <v>99</v>
      </c>
      <c r="B35" s="41" t="s">
        <v>100</v>
      </c>
      <c r="C35" s="52">
        <v>470.99</v>
      </c>
      <c r="D35" s="45">
        <f>'CALCULOS EXTRAS'!B28</f>
        <v>0</v>
      </c>
      <c r="E35" s="33">
        <f t="shared" si="1"/>
        <v>0</v>
      </c>
    </row>
    <row r="36" ht="15.75" customHeight="1">
      <c r="A36" s="37" t="s">
        <v>101</v>
      </c>
      <c r="B36" s="41" t="s">
        <v>102</v>
      </c>
      <c r="C36" s="52">
        <v>470.0</v>
      </c>
      <c r="D36" s="45">
        <f>'CALCULOS EXTRAS'!B29</f>
        <v>0</v>
      </c>
      <c r="E36" s="33">
        <f t="shared" si="1"/>
        <v>0</v>
      </c>
    </row>
    <row r="37" ht="15.75" customHeight="1">
      <c r="A37" s="37" t="s">
        <v>103</v>
      </c>
      <c r="B37" s="41" t="s">
        <v>104</v>
      </c>
      <c r="C37" s="52">
        <v>1155.78</v>
      </c>
      <c r="D37" s="45">
        <f>'CALCULOS EXTRAS'!B30</f>
        <v>0</v>
      </c>
      <c r="E37" s="33">
        <f t="shared" si="1"/>
        <v>0</v>
      </c>
    </row>
    <row r="38" ht="15.75" customHeight="1">
      <c r="A38" s="37" t="s">
        <v>105</v>
      </c>
      <c r="B38" s="41" t="s">
        <v>106</v>
      </c>
      <c r="C38" s="52">
        <v>470.0</v>
      </c>
      <c r="D38" s="45">
        <f>'CALCULOS EXTRAS'!B31</f>
        <v>0</v>
      </c>
      <c r="E38" s="33">
        <f t="shared" si="1"/>
        <v>0</v>
      </c>
    </row>
    <row r="39" ht="15.75" customHeight="1">
      <c r="A39" s="23" t="s">
        <v>15</v>
      </c>
      <c r="B39" s="23" t="s">
        <v>17</v>
      </c>
      <c r="C39" s="23" t="s">
        <v>18</v>
      </c>
      <c r="D39" s="27" t="s">
        <v>23</v>
      </c>
      <c r="E39" s="23" t="s">
        <v>24</v>
      </c>
    </row>
    <row r="40" ht="15.75" customHeight="1">
      <c r="A40" s="37" t="s">
        <v>107</v>
      </c>
      <c r="B40" s="41" t="s">
        <v>108</v>
      </c>
      <c r="C40" s="34">
        <v>1155.78</v>
      </c>
      <c r="D40" s="45">
        <f>'CALCULOS EXTRAS'!B32</f>
        <v>0</v>
      </c>
      <c r="E40" s="33">
        <f t="shared" ref="E40:E76" si="2">D40*C40</f>
        <v>0</v>
      </c>
    </row>
    <row r="41" ht="15.75" customHeight="1">
      <c r="A41" s="37" t="s">
        <v>109</v>
      </c>
      <c r="B41" s="41" t="s">
        <v>110</v>
      </c>
      <c r="C41" s="48">
        <v>1155.78</v>
      </c>
      <c r="D41" s="45">
        <f>'CALCULOS EXTRAS'!B33</f>
        <v>0</v>
      </c>
      <c r="E41" s="33">
        <f t="shared" si="2"/>
        <v>0</v>
      </c>
    </row>
    <row r="42" ht="15.75" customHeight="1">
      <c r="A42" s="37" t="s">
        <v>111</v>
      </c>
      <c r="B42" s="41" t="s">
        <v>112</v>
      </c>
      <c r="C42" s="48">
        <v>1155.78</v>
      </c>
      <c r="D42" s="45">
        <f>'CALCULOS EXTRAS'!B34</f>
        <v>0</v>
      </c>
      <c r="E42" s="33">
        <f t="shared" si="2"/>
        <v>0</v>
      </c>
    </row>
    <row r="43" ht="15.75" customHeight="1">
      <c r="A43" s="37" t="s">
        <v>113</v>
      </c>
      <c r="B43" s="41" t="s">
        <v>114</v>
      </c>
      <c r="C43" s="34">
        <v>1155.78</v>
      </c>
      <c r="D43" s="45">
        <f>'CALCULOS EXTRAS'!B35</f>
        <v>0</v>
      </c>
      <c r="E43" s="33">
        <f t="shared" si="2"/>
        <v>0</v>
      </c>
    </row>
    <row r="44" ht="15.75" customHeight="1">
      <c r="A44" s="37" t="s">
        <v>115</v>
      </c>
      <c r="B44" s="41" t="s">
        <v>116</v>
      </c>
      <c r="C44" s="56">
        <v>1155.78</v>
      </c>
      <c r="D44" s="45">
        <f>'CALCULOS EXTRAS'!B36</f>
        <v>0</v>
      </c>
      <c r="E44" s="33">
        <f t="shared" si="2"/>
        <v>0</v>
      </c>
    </row>
    <row r="45" ht="15.75" customHeight="1">
      <c r="A45" s="37" t="s">
        <v>121</v>
      </c>
      <c r="B45" s="41" t="s">
        <v>122</v>
      </c>
      <c r="C45" s="56">
        <v>1155.78</v>
      </c>
      <c r="D45" s="45">
        <f>'CALCULOS EXTRAS'!B37</f>
        <v>0</v>
      </c>
      <c r="E45" s="33">
        <f t="shared" si="2"/>
        <v>0</v>
      </c>
    </row>
    <row r="46" ht="15.75" customHeight="1">
      <c r="A46" s="37" t="s">
        <v>125</v>
      </c>
      <c r="B46" s="41" t="s">
        <v>126</v>
      </c>
      <c r="C46" s="56">
        <v>328.44</v>
      </c>
      <c r="D46" s="45">
        <f>'CALCULOS EXTRAS'!B38</f>
        <v>0</v>
      </c>
      <c r="E46" s="33">
        <f t="shared" si="2"/>
        <v>0</v>
      </c>
    </row>
    <row r="47" ht="15.75" customHeight="1">
      <c r="A47" s="37" t="s">
        <v>129</v>
      </c>
      <c r="B47" s="41" t="s">
        <v>130</v>
      </c>
      <c r="C47" s="56">
        <v>328.44</v>
      </c>
      <c r="D47" s="45">
        <f>'CALCULOS EXTRAS'!B39</f>
        <v>0</v>
      </c>
      <c r="E47" s="33">
        <f t="shared" si="2"/>
        <v>0</v>
      </c>
    </row>
    <row r="48" ht="15.75" customHeight="1">
      <c r="A48" s="37" t="s">
        <v>132</v>
      </c>
      <c r="B48" s="41" t="s">
        <v>134</v>
      </c>
      <c r="C48" s="56">
        <v>830.0</v>
      </c>
      <c r="D48" s="45">
        <f>'CALCULOS EXTRAS'!B40</f>
        <v>0</v>
      </c>
      <c r="E48" s="33">
        <f t="shared" si="2"/>
        <v>0</v>
      </c>
    </row>
    <row r="49" ht="15.75" customHeight="1">
      <c r="A49" s="37" t="s">
        <v>135</v>
      </c>
      <c r="B49" s="41" t="s">
        <v>138</v>
      </c>
      <c r="C49" s="56">
        <v>470.0</v>
      </c>
      <c r="D49" s="45">
        <f>'CALCULOS EXTRAS'!B41</f>
        <v>0</v>
      </c>
      <c r="E49" s="33">
        <f t="shared" si="2"/>
        <v>0</v>
      </c>
    </row>
    <row r="50" ht="15.75" customHeight="1">
      <c r="A50" s="37" t="s">
        <v>141</v>
      </c>
      <c r="B50" s="41" t="s">
        <v>142</v>
      </c>
      <c r="C50" s="56">
        <v>611.0</v>
      </c>
      <c r="D50" s="45">
        <f>'CALCULOS EXTRAS'!B42</f>
        <v>0</v>
      </c>
      <c r="E50" s="33">
        <f t="shared" si="2"/>
        <v>0</v>
      </c>
    </row>
    <row r="51" ht="15.75" customHeight="1">
      <c r="A51" s="37" t="s">
        <v>145</v>
      </c>
      <c r="B51" s="41" t="s">
        <v>146</v>
      </c>
      <c r="C51" s="52">
        <v>470.0</v>
      </c>
      <c r="D51" s="45">
        <f>'CALCULOS EXTRAS'!B43</f>
        <v>0</v>
      </c>
      <c r="E51" s="33">
        <f t="shared" si="2"/>
        <v>0</v>
      </c>
    </row>
    <row r="52" ht="15.75" customHeight="1">
      <c r="A52" s="37" t="s">
        <v>149</v>
      </c>
      <c r="B52" s="41" t="s">
        <v>150</v>
      </c>
      <c r="C52" s="52">
        <v>333.29</v>
      </c>
      <c r="D52" s="45">
        <f>'CALCULOS EXTRAS'!B44</f>
        <v>0</v>
      </c>
      <c r="E52" s="33">
        <f t="shared" si="2"/>
        <v>0</v>
      </c>
    </row>
    <row r="53" ht="15.75" customHeight="1">
      <c r="A53" s="37" t="s">
        <v>153</v>
      </c>
      <c r="B53" s="41" t="s">
        <v>154</v>
      </c>
      <c r="C53" s="52">
        <v>380.0</v>
      </c>
      <c r="D53" s="45">
        <f>'CALCULOS EXTRAS'!B45</f>
        <v>0</v>
      </c>
      <c r="E53" s="33">
        <f t="shared" si="2"/>
        <v>0</v>
      </c>
    </row>
    <row r="54" ht="15.75" customHeight="1">
      <c r="A54" s="37" t="s">
        <v>155</v>
      </c>
      <c r="B54" s="41" t="s">
        <v>156</v>
      </c>
      <c r="C54" s="52">
        <v>533.52</v>
      </c>
      <c r="D54" s="45">
        <f>'CALCULOS EXTRAS'!B46</f>
        <v>0</v>
      </c>
      <c r="E54" s="33">
        <f t="shared" si="2"/>
        <v>0</v>
      </c>
    </row>
    <row r="55" ht="15.75" customHeight="1">
      <c r="A55" s="37" t="s">
        <v>157</v>
      </c>
      <c r="B55" s="60" t="s">
        <v>158</v>
      </c>
      <c r="C55" s="52">
        <v>470.0</v>
      </c>
      <c r="D55" s="45">
        <f>'CALCULOS EXTRAS'!B47</f>
        <v>0</v>
      </c>
      <c r="E55" s="33">
        <f t="shared" si="2"/>
        <v>0</v>
      </c>
      <c r="F55" s="62"/>
      <c r="G55" s="62"/>
    </row>
    <row r="56" ht="15.75" customHeight="1">
      <c r="A56" s="37" t="s">
        <v>178</v>
      </c>
      <c r="B56" s="41" t="s">
        <v>179</v>
      </c>
      <c r="C56" s="52">
        <v>380.0</v>
      </c>
      <c r="D56" s="45">
        <f>'CALCULOS EXTRAS'!B48</f>
        <v>0</v>
      </c>
      <c r="E56" s="33">
        <f t="shared" si="2"/>
        <v>0</v>
      </c>
    </row>
    <row r="57" ht="15.75" customHeight="1">
      <c r="A57" s="37" t="s">
        <v>180</v>
      </c>
      <c r="B57" s="41" t="s">
        <v>181</v>
      </c>
      <c r="C57" s="52">
        <v>533.52</v>
      </c>
      <c r="D57" s="45">
        <f>'CALCULOS EXTRAS'!B49</f>
        <v>0</v>
      </c>
      <c r="E57" s="33">
        <f t="shared" si="2"/>
        <v>0</v>
      </c>
    </row>
    <row r="58" ht="15.75" customHeight="1">
      <c r="A58" s="37" t="s">
        <v>182</v>
      </c>
      <c r="B58" s="41" t="s">
        <v>183</v>
      </c>
      <c r="C58" s="52">
        <v>456.0</v>
      </c>
      <c r="D58" s="45">
        <f>'CALCULOS EXTRAS'!B50</f>
        <v>0</v>
      </c>
      <c r="E58" s="33">
        <f t="shared" si="2"/>
        <v>0</v>
      </c>
    </row>
    <row r="59" ht="15.75" customHeight="1">
      <c r="A59" s="37" t="s">
        <v>184</v>
      </c>
      <c r="B59" s="41" t="s">
        <v>185</v>
      </c>
      <c r="C59" s="52">
        <v>456.0</v>
      </c>
      <c r="D59" s="45">
        <f>'CALCULOS EXTRAS'!B51</f>
        <v>0</v>
      </c>
      <c r="E59" s="33">
        <f t="shared" si="2"/>
        <v>0</v>
      </c>
    </row>
    <row r="60" ht="15.75" customHeight="1">
      <c r="A60" s="37" t="s">
        <v>188</v>
      </c>
      <c r="B60" s="41" t="s">
        <v>189</v>
      </c>
      <c r="C60" s="52">
        <v>94.01</v>
      </c>
      <c r="D60" s="45">
        <f>'CALCULOS EXTRAS'!B52</f>
        <v>0</v>
      </c>
      <c r="E60" s="33">
        <f t="shared" si="2"/>
        <v>0</v>
      </c>
    </row>
    <row r="61" ht="15.75" customHeight="1">
      <c r="A61" s="37" t="s">
        <v>192</v>
      </c>
      <c r="B61" s="41" t="s">
        <v>194</v>
      </c>
      <c r="C61" s="52">
        <v>35.0</v>
      </c>
      <c r="D61" s="45">
        <f>'CALCULOS EXTRAS'!B53</f>
        <v>0</v>
      </c>
      <c r="E61" s="33">
        <f t="shared" si="2"/>
        <v>0</v>
      </c>
    </row>
    <row r="62" ht="15.75" customHeight="1">
      <c r="A62" s="37" t="s">
        <v>197</v>
      </c>
      <c r="B62" s="41" t="s">
        <v>198</v>
      </c>
      <c r="C62" s="52">
        <v>611.0</v>
      </c>
      <c r="D62" s="45">
        <f>'CALCULOS EXTRAS'!B54</f>
        <v>0</v>
      </c>
      <c r="E62" s="33">
        <f t="shared" si="2"/>
        <v>0</v>
      </c>
    </row>
    <row r="63" ht="15.75" customHeight="1">
      <c r="A63" s="37" t="s">
        <v>201</v>
      </c>
      <c r="B63" s="41" t="s">
        <v>202</v>
      </c>
      <c r="C63" s="52">
        <v>611.0</v>
      </c>
      <c r="D63" s="45">
        <f>'CALCULOS EXTRAS'!B55</f>
        <v>0</v>
      </c>
      <c r="E63" s="33">
        <f t="shared" si="2"/>
        <v>0</v>
      </c>
    </row>
    <row r="64" ht="15.75" customHeight="1">
      <c r="A64" s="37" t="s">
        <v>204</v>
      </c>
      <c r="B64" s="41" t="s">
        <v>206</v>
      </c>
      <c r="C64" s="52">
        <v>79.2</v>
      </c>
      <c r="D64" s="45">
        <f>'CALCULOS EXTRAS'!B56</f>
        <v>0</v>
      </c>
      <c r="E64" s="33">
        <f t="shared" si="2"/>
        <v>0</v>
      </c>
    </row>
    <row r="65" ht="15.75" customHeight="1">
      <c r="A65" s="37" t="s">
        <v>207</v>
      </c>
      <c r="B65" s="41" t="s">
        <v>208</v>
      </c>
      <c r="C65" s="52">
        <v>345.6</v>
      </c>
      <c r="D65" s="45">
        <f>'CALCULOS EXTRAS'!B57</f>
        <v>0</v>
      </c>
      <c r="E65" s="33">
        <f t="shared" si="2"/>
        <v>0</v>
      </c>
    </row>
    <row r="66" ht="15.75" customHeight="1">
      <c r="A66" s="37" t="s">
        <v>209</v>
      </c>
      <c r="B66" s="41" t="s">
        <v>211</v>
      </c>
      <c r="C66" s="70">
        <v>288.0</v>
      </c>
      <c r="D66" s="45">
        <f>'CALCULOS EXTRAS'!B58</f>
        <v>0</v>
      </c>
      <c r="E66" s="33">
        <f t="shared" si="2"/>
        <v>0</v>
      </c>
    </row>
    <row r="67" ht="15.75" customHeight="1">
      <c r="A67" s="37" t="s">
        <v>225</v>
      </c>
      <c r="B67" s="41" t="s">
        <v>226</v>
      </c>
      <c r="C67" s="70">
        <v>470.0</v>
      </c>
      <c r="D67" s="45">
        <f>'CALCULOS EXTRAS'!B59</f>
        <v>0</v>
      </c>
      <c r="E67" s="33">
        <f t="shared" si="2"/>
        <v>0</v>
      </c>
    </row>
    <row r="68" ht="15.75" customHeight="1">
      <c r="A68" s="37" t="s">
        <v>229</v>
      </c>
      <c r="B68" s="41" t="s">
        <v>230</v>
      </c>
      <c r="C68" s="70">
        <v>470.0</v>
      </c>
      <c r="D68" s="45">
        <f>'CALCULOS EXTRAS'!B60</f>
        <v>0</v>
      </c>
      <c r="E68" s="33">
        <f t="shared" si="2"/>
        <v>0</v>
      </c>
    </row>
    <row r="69" ht="15.75" customHeight="1">
      <c r="A69" s="37" t="s">
        <v>231</v>
      </c>
      <c r="B69" s="41" t="s">
        <v>232</v>
      </c>
      <c r="C69" s="70">
        <v>380.0</v>
      </c>
      <c r="D69" s="45">
        <f>'CALCULOS EXTRAS'!B61</f>
        <v>0</v>
      </c>
      <c r="E69" s="33">
        <f t="shared" si="2"/>
        <v>0</v>
      </c>
    </row>
    <row r="70" ht="15.75" customHeight="1">
      <c r="A70" s="37" t="s">
        <v>233</v>
      </c>
      <c r="B70" s="41" t="s">
        <v>234</v>
      </c>
      <c r="C70" s="70">
        <v>226.95</v>
      </c>
      <c r="D70" s="45">
        <f>'CALCULOS EXTRAS'!B62</f>
        <v>0</v>
      </c>
      <c r="E70" s="33">
        <f t="shared" si="2"/>
        <v>0</v>
      </c>
    </row>
    <row r="71" ht="15.75" customHeight="1">
      <c r="A71" s="37" t="s">
        <v>235</v>
      </c>
      <c r="B71" s="41" t="s">
        <v>236</v>
      </c>
      <c r="C71" s="70">
        <v>380.0</v>
      </c>
      <c r="D71" s="45">
        <f>'CALCULOS EXTRAS'!B63</f>
        <v>0</v>
      </c>
      <c r="E71" s="33">
        <f t="shared" si="2"/>
        <v>0</v>
      </c>
    </row>
    <row r="72" ht="15.75" customHeight="1">
      <c r="A72" s="37" t="s">
        <v>237</v>
      </c>
      <c r="B72" s="41" t="s">
        <v>238</v>
      </c>
      <c r="C72" s="70">
        <v>226.95</v>
      </c>
      <c r="D72" s="45">
        <f>'CALCULOS EXTRAS'!B64</f>
        <v>0</v>
      </c>
      <c r="E72" s="33">
        <f t="shared" si="2"/>
        <v>0</v>
      </c>
    </row>
    <row r="73" ht="15.75" customHeight="1">
      <c r="A73" s="37" t="s">
        <v>239</v>
      </c>
      <c r="B73" s="41" t="s">
        <v>240</v>
      </c>
      <c r="C73" s="70">
        <v>611.0</v>
      </c>
      <c r="D73" s="45">
        <f>'CALCULOS EXTRAS'!B65</f>
        <v>0</v>
      </c>
      <c r="E73" s="33">
        <f t="shared" si="2"/>
        <v>0</v>
      </c>
    </row>
    <row r="74" ht="15.75" customHeight="1">
      <c r="A74" s="37" t="s">
        <v>241</v>
      </c>
      <c r="B74" s="41" t="s">
        <v>242</v>
      </c>
      <c r="C74" s="70">
        <v>770.99</v>
      </c>
      <c r="D74" s="45">
        <f>'CALCULOS EXTRAS'!B66</f>
        <v>0</v>
      </c>
      <c r="E74" s="33">
        <f t="shared" si="2"/>
        <v>0</v>
      </c>
    </row>
    <row r="75" ht="15.75" customHeight="1">
      <c r="A75" s="37" t="s">
        <v>244</v>
      </c>
      <c r="B75" s="41" t="s">
        <v>245</v>
      </c>
      <c r="C75" s="78">
        <v>768.86</v>
      </c>
      <c r="D75" s="45">
        <f>'CALCULOS EXTRAS'!B67</f>
        <v>0</v>
      </c>
      <c r="E75" s="33">
        <f t="shared" si="2"/>
        <v>0</v>
      </c>
    </row>
    <row r="76" ht="15.75" customHeight="1">
      <c r="A76" s="37" t="s">
        <v>248</v>
      </c>
      <c r="B76" s="41" t="s">
        <v>249</v>
      </c>
      <c r="C76" s="82">
        <v>470.0</v>
      </c>
      <c r="D76" s="45">
        <f>'CALCULOS EXTRAS'!B68</f>
        <v>0</v>
      </c>
      <c r="E76" s="33">
        <f t="shared" si="2"/>
        <v>0</v>
      </c>
    </row>
    <row r="77" ht="15.75" customHeight="1">
      <c r="A77" s="23" t="s">
        <v>15</v>
      </c>
      <c r="B77" s="23" t="s">
        <v>17</v>
      </c>
      <c r="C77" s="23" t="s">
        <v>18</v>
      </c>
      <c r="D77" s="27" t="s">
        <v>23</v>
      </c>
      <c r="E77" s="23" t="s">
        <v>24</v>
      </c>
    </row>
    <row r="78" ht="15.75" customHeight="1">
      <c r="A78" s="37" t="s">
        <v>250</v>
      </c>
      <c r="B78" s="41" t="s">
        <v>251</v>
      </c>
      <c r="C78" s="78">
        <v>1656.01</v>
      </c>
      <c r="D78" s="45">
        <f>'CALCULOS EXTRAS'!B69</f>
        <v>0</v>
      </c>
      <c r="E78" s="33">
        <f t="shared" ref="E78:E104" si="3">D78*C78</f>
        <v>0</v>
      </c>
    </row>
    <row r="79" ht="15.75" customHeight="1">
      <c r="A79" s="37" t="s">
        <v>252</v>
      </c>
      <c r="B79" s="41" t="s">
        <v>253</v>
      </c>
      <c r="C79" s="78">
        <v>1435.21</v>
      </c>
      <c r="D79" s="45">
        <f>'CALCULOS EXTRAS'!B70</f>
        <v>0</v>
      </c>
      <c r="E79" s="33">
        <f t="shared" si="3"/>
        <v>0</v>
      </c>
    </row>
    <row r="80" ht="15.75" customHeight="1">
      <c r="A80" s="37" t="s">
        <v>255</v>
      </c>
      <c r="B80" s="41" t="s">
        <v>256</v>
      </c>
      <c r="C80" s="78">
        <v>470.0</v>
      </c>
      <c r="D80" s="45">
        <f>'CALCULOS EXTRAS'!B71</f>
        <v>0</v>
      </c>
      <c r="E80" s="33">
        <f t="shared" si="3"/>
        <v>0</v>
      </c>
    </row>
    <row r="81" ht="15.75" customHeight="1">
      <c r="A81" s="37" t="s">
        <v>257</v>
      </c>
      <c r="B81" s="41" t="s">
        <v>258</v>
      </c>
      <c r="C81" s="78">
        <v>611.0</v>
      </c>
      <c r="D81" s="45">
        <f>'CALCULOS EXTRAS'!B72</f>
        <v>0</v>
      </c>
      <c r="E81" s="33">
        <f t="shared" si="3"/>
        <v>0</v>
      </c>
    </row>
    <row r="82" ht="15.75" customHeight="1">
      <c r="A82" s="37" t="s">
        <v>259</v>
      </c>
      <c r="B82" s="41" t="s">
        <v>260</v>
      </c>
      <c r="C82" s="78">
        <v>874.95</v>
      </c>
      <c r="D82" s="45">
        <f>'CALCULOS EXTRAS'!B73</f>
        <v>0</v>
      </c>
      <c r="E82" s="33">
        <f t="shared" si="3"/>
        <v>0</v>
      </c>
    </row>
    <row r="83" ht="15.75" customHeight="1">
      <c r="A83" s="37" t="s">
        <v>261</v>
      </c>
      <c r="B83" s="41" t="s">
        <v>262</v>
      </c>
      <c r="C83" s="78">
        <v>230.0</v>
      </c>
      <c r="D83" s="45">
        <f>'CALCULOS EXTRAS'!B74</f>
        <v>0</v>
      </c>
      <c r="E83" s="33">
        <f t="shared" si="3"/>
        <v>0</v>
      </c>
    </row>
    <row r="84" ht="15.75" customHeight="1">
      <c r="A84" s="37" t="s">
        <v>263</v>
      </c>
      <c r="B84" s="41" t="s">
        <v>264</v>
      </c>
      <c r="C84" s="78">
        <v>1155.12</v>
      </c>
      <c r="D84" s="45">
        <f>'CALCULOS EXTRAS'!B75</f>
        <v>0</v>
      </c>
      <c r="E84" s="33">
        <f t="shared" si="3"/>
        <v>0</v>
      </c>
    </row>
    <row r="85" ht="15.75" customHeight="1">
      <c r="A85" s="37" t="s">
        <v>265</v>
      </c>
      <c r="B85" s="41" t="s">
        <v>266</v>
      </c>
      <c r="C85" s="78">
        <v>874.95</v>
      </c>
      <c r="D85" s="45">
        <f>'CALCULOS EXTRAS'!B76</f>
        <v>0</v>
      </c>
      <c r="E85" s="33">
        <f t="shared" si="3"/>
        <v>0</v>
      </c>
    </row>
    <row r="86" ht="15.75" customHeight="1">
      <c r="A86" s="37" t="s">
        <v>267</v>
      </c>
      <c r="B86" s="41" t="s">
        <v>268</v>
      </c>
      <c r="C86" s="78">
        <v>874.95</v>
      </c>
      <c r="D86" s="45">
        <f>'CALCULOS EXTRAS'!B77</f>
        <v>0</v>
      </c>
      <c r="E86" s="33">
        <f t="shared" si="3"/>
        <v>0</v>
      </c>
    </row>
    <row r="87" ht="15.75" customHeight="1">
      <c r="A87" s="37" t="s">
        <v>269</v>
      </c>
      <c r="B87" s="41" t="s">
        <v>270</v>
      </c>
      <c r="C87" s="78">
        <v>470.0</v>
      </c>
      <c r="D87" s="45">
        <f>'CALCULOS EXTRAS'!B78</f>
        <v>0</v>
      </c>
      <c r="E87" s="33">
        <f t="shared" si="3"/>
        <v>0</v>
      </c>
    </row>
    <row r="88" ht="15.75" customHeight="1">
      <c r="A88" s="37" t="s">
        <v>271</v>
      </c>
      <c r="B88" s="41" t="s">
        <v>272</v>
      </c>
      <c r="C88" s="78">
        <v>133.35</v>
      </c>
      <c r="D88" s="45">
        <f>'CALCULOS EXTRAS'!B79</f>
        <v>0</v>
      </c>
      <c r="E88" s="33">
        <f t="shared" si="3"/>
        <v>0</v>
      </c>
    </row>
    <row r="89" ht="15.75" customHeight="1">
      <c r="A89" s="37" t="s">
        <v>273</v>
      </c>
      <c r="B89" s="41" t="s">
        <v>274</v>
      </c>
      <c r="C89" s="78">
        <v>1435.21</v>
      </c>
      <c r="D89" s="45">
        <f>'CALCULOS EXTRAS'!B80</f>
        <v>0</v>
      </c>
      <c r="E89" s="33">
        <f t="shared" si="3"/>
        <v>0</v>
      </c>
    </row>
    <row r="90" ht="15.75" customHeight="1">
      <c r="A90" s="37" t="s">
        <v>275</v>
      </c>
      <c r="B90" s="41" t="s">
        <v>276</v>
      </c>
      <c r="C90" s="78">
        <v>105.41</v>
      </c>
      <c r="D90" s="45">
        <f>'CALCULOS EXTRAS'!B81</f>
        <v>0</v>
      </c>
      <c r="E90" s="33">
        <f t="shared" si="3"/>
        <v>0</v>
      </c>
    </row>
    <row r="91" ht="15.75" customHeight="1">
      <c r="A91" s="37" t="s">
        <v>277</v>
      </c>
      <c r="B91" s="41" t="s">
        <v>278</v>
      </c>
      <c r="C91" s="78">
        <v>350.0</v>
      </c>
      <c r="D91" s="45">
        <f>'CALCULOS EXTRAS'!B82</f>
        <v>0</v>
      </c>
      <c r="E91" s="33">
        <f t="shared" si="3"/>
        <v>0</v>
      </c>
    </row>
    <row r="92" ht="15.75" customHeight="1">
      <c r="A92" s="37" t="s">
        <v>279</v>
      </c>
      <c r="B92" s="41" t="s">
        <v>280</v>
      </c>
      <c r="C92" s="78">
        <v>230.0</v>
      </c>
      <c r="D92" s="45">
        <f>'CALCULOS EXTRAS'!B83</f>
        <v>0</v>
      </c>
      <c r="E92" s="33">
        <f t="shared" si="3"/>
        <v>0</v>
      </c>
    </row>
    <row r="93" ht="15.75" customHeight="1">
      <c r="A93" s="37" t="s">
        <v>281</v>
      </c>
      <c r="B93" s="41" t="s">
        <v>282</v>
      </c>
      <c r="C93" s="78">
        <v>1435.21</v>
      </c>
      <c r="D93" s="45">
        <f>'CALCULOS EXTRAS'!B84</f>
        <v>0</v>
      </c>
      <c r="E93" s="33">
        <f t="shared" si="3"/>
        <v>0</v>
      </c>
    </row>
    <row r="94" ht="15.75" customHeight="1">
      <c r="A94" s="37" t="s">
        <v>283</v>
      </c>
      <c r="B94" s="41" t="s">
        <v>284</v>
      </c>
      <c r="C94" s="78">
        <v>1435.21</v>
      </c>
      <c r="D94" s="45">
        <f>'CALCULOS EXTRAS'!B85</f>
        <v>0</v>
      </c>
      <c r="E94" s="33">
        <f t="shared" si="3"/>
        <v>0</v>
      </c>
    </row>
    <row r="95" ht="15.75" customHeight="1">
      <c r="A95" s="37" t="s">
        <v>285</v>
      </c>
      <c r="B95" s="41" t="s">
        <v>286</v>
      </c>
      <c r="C95" s="78">
        <v>1435.21</v>
      </c>
      <c r="D95" s="45">
        <f>'CALCULOS EXTRAS'!B86</f>
        <v>0</v>
      </c>
      <c r="E95" s="33">
        <f t="shared" si="3"/>
        <v>0</v>
      </c>
    </row>
    <row r="96" ht="15.75" customHeight="1">
      <c r="A96" s="37" t="s">
        <v>288</v>
      </c>
      <c r="B96" s="41" t="s">
        <v>289</v>
      </c>
      <c r="C96" s="78">
        <v>1002.24</v>
      </c>
      <c r="D96" s="45">
        <f>'CALCULOS EXTRAS'!B87</f>
        <v>0</v>
      </c>
      <c r="E96" s="33">
        <f t="shared" si="3"/>
        <v>0</v>
      </c>
    </row>
    <row r="97" ht="15.75" customHeight="1">
      <c r="A97" s="37" t="s">
        <v>290</v>
      </c>
      <c r="B97" s="41" t="s">
        <v>291</v>
      </c>
      <c r="C97" s="78">
        <v>1002.24</v>
      </c>
      <c r="D97" s="45">
        <f>'CALCULOS EXTRAS'!B88</f>
        <v>0</v>
      </c>
      <c r="E97" s="33">
        <f t="shared" si="3"/>
        <v>0</v>
      </c>
    </row>
    <row r="98" ht="15.75" customHeight="1">
      <c r="A98" s="37" t="s">
        <v>293</v>
      </c>
      <c r="B98" s="41" t="s">
        <v>294</v>
      </c>
      <c r="C98" s="48">
        <v>1002.24</v>
      </c>
      <c r="D98" s="45">
        <f>'CALCULOS EXTRAS'!B89</f>
        <v>0</v>
      </c>
      <c r="E98" s="33">
        <f t="shared" si="3"/>
        <v>0</v>
      </c>
    </row>
    <row r="99" ht="15.75" customHeight="1">
      <c r="A99" s="37" t="s">
        <v>295</v>
      </c>
      <c r="B99" s="41" t="s">
        <v>296</v>
      </c>
      <c r="C99" s="34">
        <v>1435.21</v>
      </c>
      <c r="D99" s="45">
        <f>'CALCULOS EXTRAS'!B90</f>
        <v>0</v>
      </c>
      <c r="E99" s="33">
        <f t="shared" si="3"/>
        <v>0</v>
      </c>
    </row>
    <row r="100" ht="15.75" customHeight="1">
      <c r="A100" s="37" t="s">
        <v>297</v>
      </c>
      <c r="B100" s="41" t="s">
        <v>298</v>
      </c>
      <c r="C100" s="52">
        <v>1002.24</v>
      </c>
      <c r="D100" s="45">
        <f>'CALCULOS EXTRAS'!B91</f>
        <v>0</v>
      </c>
      <c r="E100" s="33">
        <f t="shared" si="3"/>
        <v>0</v>
      </c>
    </row>
    <row r="101" ht="15.75" customHeight="1">
      <c r="A101" s="37" t="s">
        <v>299</v>
      </c>
      <c r="B101" s="41" t="s">
        <v>301</v>
      </c>
      <c r="C101" s="34">
        <v>1002.24</v>
      </c>
      <c r="D101" s="45">
        <f>'CALCULOS EXTRAS'!B92</f>
        <v>0</v>
      </c>
      <c r="E101" s="33">
        <f t="shared" si="3"/>
        <v>0</v>
      </c>
    </row>
    <row r="102" ht="15.75" customHeight="1">
      <c r="A102" s="37" t="s">
        <v>303</v>
      </c>
      <c r="B102" s="41" t="s">
        <v>304</v>
      </c>
      <c r="C102" s="57">
        <v>1002.24</v>
      </c>
      <c r="D102" s="45">
        <f>'CALCULOS EXTRAS'!B93</f>
        <v>0</v>
      </c>
      <c r="E102" s="33">
        <f t="shared" si="3"/>
        <v>0</v>
      </c>
    </row>
    <row r="103" ht="15.75" customHeight="1">
      <c r="A103" s="37" t="s">
        <v>305</v>
      </c>
      <c r="B103" s="41" t="s">
        <v>306</v>
      </c>
      <c r="C103" s="57">
        <v>1435.21</v>
      </c>
      <c r="D103" s="45">
        <f>'CALCULOS EXTRAS'!B94</f>
        <v>0</v>
      </c>
      <c r="E103" s="33">
        <f t="shared" si="3"/>
        <v>0</v>
      </c>
    </row>
    <row r="104" ht="15.75" customHeight="1">
      <c r="A104" s="37" t="s">
        <v>307</v>
      </c>
      <c r="B104" s="41" t="s">
        <v>308</v>
      </c>
      <c r="C104" s="34">
        <v>1155.78</v>
      </c>
      <c r="D104" s="45">
        <f>'CALCULOS EXTRAS'!B95</f>
        <v>0</v>
      </c>
      <c r="E104" s="33">
        <f t="shared" si="3"/>
        <v>0</v>
      </c>
    </row>
    <row r="105" ht="15.75" customHeight="1">
      <c r="A105" s="45"/>
      <c r="B105" s="76" t="s">
        <v>243</v>
      </c>
      <c r="C105" s="95"/>
      <c r="D105" s="97">
        <f t="shared" ref="D105:E105" si="4">SUM(D13:D38)+SUM(D40:D76)+SUM(D78:D104)</f>
        <v>0</v>
      </c>
      <c r="E105" s="99">
        <f t="shared" si="4"/>
        <v>0</v>
      </c>
      <c r="H105" s="101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H4:K4"/>
  </mergeCells>
  <printOptions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76.86"/>
    <col customWidth="1" min="3" max="3" width="13.14"/>
    <col customWidth="1" min="4" max="4" width="14.43"/>
    <col customWidth="1" min="5" max="5" width="12.0"/>
    <col customWidth="1" min="6" max="26" width="8.71"/>
  </cols>
  <sheetData>
    <row r="1">
      <c r="A1" s="7" t="s">
        <v>0</v>
      </c>
      <c r="B1" s="7"/>
      <c r="C1" s="7"/>
      <c r="D1" s="9"/>
      <c r="E1" s="11"/>
    </row>
    <row r="2">
      <c r="A2" s="13" t="s">
        <v>1</v>
      </c>
      <c r="B2" s="13"/>
      <c r="C2" s="13"/>
      <c r="D2" s="13"/>
      <c r="E2" s="11"/>
    </row>
    <row r="3">
      <c r="A3" s="13" t="s">
        <v>2</v>
      </c>
      <c r="B3" s="13"/>
      <c r="C3" s="13"/>
      <c r="D3" s="13"/>
      <c r="E3" s="11"/>
    </row>
    <row r="4">
      <c r="B4" s="15"/>
    </row>
    <row r="5">
      <c r="B5" s="15"/>
      <c r="C5" s="15"/>
      <c r="D5" s="15"/>
      <c r="E5" s="16"/>
    </row>
    <row r="6">
      <c r="A6" s="19" t="s">
        <v>4</v>
      </c>
      <c r="B6" s="11"/>
      <c r="C6" s="11"/>
      <c r="E6" s="2"/>
    </row>
    <row r="7">
      <c r="A7" s="19" t="s">
        <v>5</v>
      </c>
      <c r="B7" s="11"/>
      <c r="C7" s="11"/>
      <c r="E7" s="2"/>
    </row>
    <row r="8">
      <c r="A8" s="19"/>
      <c r="B8" s="11"/>
      <c r="C8" s="11"/>
      <c r="E8" s="2"/>
    </row>
    <row r="9">
      <c r="A9" s="19" t="s">
        <v>6</v>
      </c>
      <c r="B9" s="11"/>
      <c r="C9" s="11"/>
      <c r="E9" s="2"/>
    </row>
    <row r="10">
      <c r="A10" s="19" t="s">
        <v>7</v>
      </c>
    </row>
    <row r="12" ht="36.75" customHeight="1">
      <c r="A12" s="26" t="s">
        <v>15</v>
      </c>
      <c r="B12" s="26" t="s">
        <v>17</v>
      </c>
      <c r="C12" s="26" t="s">
        <v>18</v>
      </c>
      <c r="D12" s="26" t="s">
        <v>19</v>
      </c>
      <c r="E12" s="26" t="s">
        <v>24</v>
      </c>
    </row>
    <row r="13">
      <c r="A13" s="37" t="s">
        <v>300</v>
      </c>
      <c r="B13" s="45" t="s">
        <v>302</v>
      </c>
      <c r="C13" s="34">
        <v>500.5</v>
      </c>
      <c r="D13" s="45">
        <f>'CALCULOS EXTRAS'!C6</f>
        <v>0</v>
      </c>
      <c r="E13" s="33">
        <f t="shared" ref="E13:E25" si="1">D13*C13</f>
        <v>0</v>
      </c>
    </row>
    <row r="14">
      <c r="A14" s="37" t="s">
        <v>309</v>
      </c>
      <c r="B14" s="45" t="s">
        <v>310</v>
      </c>
      <c r="C14" s="34">
        <v>500.5</v>
      </c>
      <c r="D14" s="45">
        <f>'CALCULOS EXTRAS'!C7</f>
        <v>0</v>
      </c>
      <c r="E14" s="33">
        <f t="shared" si="1"/>
        <v>0</v>
      </c>
    </row>
    <row r="15">
      <c r="A15" s="37" t="s">
        <v>311</v>
      </c>
      <c r="B15" s="45" t="s">
        <v>312</v>
      </c>
      <c r="C15" s="34">
        <v>230.16</v>
      </c>
      <c r="D15" s="45">
        <f>'CALCULOS EXTRAS'!C8</f>
        <v>0</v>
      </c>
      <c r="E15" s="33">
        <f t="shared" si="1"/>
        <v>0</v>
      </c>
    </row>
    <row r="16">
      <c r="A16" s="37" t="s">
        <v>313</v>
      </c>
      <c r="B16" s="45" t="s">
        <v>314</v>
      </c>
      <c r="C16" s="34">
        <v>441.84</v>
      </c>
      <c r="D16" s="45">
        <f>'CALCULOS EXTRAS'!C9</f>
        <v>0</v>
      </c>
      <c r="E16" s="33">
        <f t="shared" si="1"/>
        <v>0</v>
      </c>
    </row>
    <row r="17">
      <c r="A17" s="37" t="s">
        <v>315</v>
      </c>
      <c r="B17" s="45" t="s">
        <v>316</v>
      </c>
      <c r="C17" s="34">
        <v>214.5</v>
      </c>
      <c r="D17" s="45">
        <f>'CALCULOS EXTRAS'!C10</f>
        <v>0</v>
      </c>
      <c r="E17" s="33">
        <f t="shared" si="1"/>
        <v>0</v>
      </c>
    </row>
    <row r="18">
      <c r="A18" s="37" t="s">
        <v>317</v>
      </c>
      <c r="B18" s="45" t="s">
        <v>318</v>
      </c>
      <c r="C18" s="34">
        <v>321.75</v>
      </c>
      <c r="D18" s="45">
        <f>'CALCULOS EXTRAS'!C11</f>
        <v>0</v>
      </c>
      <c r="E18" s="33">
        <f t="shared" si="1"/>
        <v>0</v>
      </c>
    </row>
    <row r="19">
      <c r="A19" s="37" t="s">
        <v>321</v>
      </c>
      <c r="B19" s="45" t="s">
        <v>322</v>
      </c>
      <c r="C19" s="34">
        <v>180.75</v>
      </c>
      <c r="D19" s="45">
        <f>'CALCULOS EXTRAS'!C12</f>
        <v>0</v>
      </c>
      <c r="E19" s="33">
        <f t="shared" si="1"/>
        <v>0</v>
      </c>
    </row>
    <row r="20">
      <c r="A20" s="37" t="s">
        <v>323</v>
      </c>
      <c r="B20" s="45" t="s">
        <v>324</v>
      </c>
      <c r="C20" s="34">
        <v>165.17</v>
      </c>
      <c r="D20" s="45">
        <f>'CALCULOS EXTRAS'!C13</f>
        <v>0</v>
      </c>
      <c r="E20" s="33">
        <f t="shared" si="1"/>
        <v>0</v>
      </c>
    </row>
    <row r="21" ht="15.75" customHeight="1">
      <c r="A21" s="37" t="s">
        <v>326</v>
      </c>
      <c r="B21" s="45" t="s">
        <v>327</v>
      </c>
      <c r="C21" s="34">
        <v>559.82</v>
      </c>
      <c r="D21" s="45">
        <f>'CALCULOS EXTRAS'!C14</f>
        <v>0</v>
      </c>
      <c r="E21" s="33">
        <f t="shared" si="1"/>
        <v>0</v>
      </c>
    </row>
    <row r="22" ht="15.75" customHeight="1">
      <c r="A22" s="37" t="s">
        <v>328</v>
      </c>
      <c r="B22" s="45" t="s">
        <v>329</v>
      </c>
      <c r="C22" s="34">
        <v>247.95</v>
      </c>
      <c r="D22" s="45">
        <f>'CALCULOS EXTRAS'!C15</f>
        <v>0</v>
      </c>
      <c r="E22" s="33">
        <f t="shared" si="1"/>
        <v>0</v>
      </c>
    </row>
    <row r="23" ht="15.75" customHeight="1">
      <c r="A23" s="37" t="s">
        <v>330</v>
      </c>
      <c r="B23" s="45" t="s">
        <v>331</v>
      </c>
      <c r="C23" s="34">
        <v>560.0</v>
      </c>
      <c r="D23" s="45">
        <f>'CALCULOS EXTRAS'!C16</f>
        <v>0</v>
      </c>
      <c r="E23" s="33">
        <f t="shared" si="1"/>
        <v>0</v>
      </c>
    </row>
    <row r="24" ht="15.75" customHeight="1">
      <c r="A24" s="37" t="s">
        <v>332</v>
      </c>
      <c r="B24" s="45" t="s">
        <v>333</v>
      </c>
      <c r="C24" s="34">
        <v>202.44</v>
      </c>
      <c r="D24" s="45">
        <f>'CALCULOS EXTRAS'!C17</f>
        <v>0</v>
      </c>
      <c r="E24" s="33">
        <f t="shared" si="1"/>
        <v>0</v>
      </c>
    </row>
    <row r="25" ht="15.75" customHeight="1">
      <c r="A25" s="37" t="s">
        <v>334</v>
      </c>
      <c r="B25" s="45" t="s">
        <v>335</v>
      </c>
      <c r="C25" s="34">
        <v>168.0</v>
      </c>
      <c r="D25" s="45">
        <f>'CALCULOS EXTRAS'!C18</f>
        <v>0</v>
      </c>
      <c r="E25" s="33">
        <f t="shared" si="1"/>
        <v>0</v>
      </c>
    </row>
    <row r="26" ht="15.75" customHeight="1">
      <c r="B26" s="76" t="s">
        <v>243</v>
      </c>
      <c r="C26" s="79"/>
      <c r="D26" s="81">
        <f t="shared" ref="D26:E26" si="2">SUM(D13:D25)</f>
        <v>0</v>
      </c>
      <c r="E26" s="98">
        <f t="shared" si="2"/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64.14"/>
    <col customWidth="1" min="3" max="3" width="16.43"/>
    <col customWidth="1" min="4" max="4" width="14.14"/>
    <col customWidth="1" min="5" max="5" width="12.14"/>
    <col customWidth="1" min="6" max="26" width="8.71"/>
  </cols>
  <sheetData>
    <row r="1">
      <c r="A1" s="7" t="s">
        <v>0</v>
      </c>
      <c r="B1" s="7"/>
      <c r="C1" s="7"/>
      <c r="D1" s="9"/>
      <c r="E1" s="11"/>
    </row>
    <row r="2">
      <c r="A2" s="13" t="s">
        <v>1</v>
      </c>
      <c r="B2" s="13"/>
      <c r="C2" s="13"/>
      <c r="D2" s="13"/>
      <c r="E2" s="11"/>
    </row>
    <row r="3">
      <c r="A3" s="13" t="s">
        <v>2</v>
      </c>
      <c r="B3" s="13"/>
      <c r="C3" s="13"/>
      <c r="D3" s="13"/>
      <c r="E3" s="11"/>
    </row>
    <row r="4">
      <c r="B4" s="15"/>
      <c r="H4" s="17"/>
    </row>
    <row r="5">
      <c r="B5" s="15"/>
      <c r="C5" s="15"/>
      <c r="D5" s="15"/>
      <c r="E5" s="16"/>
      <c r="F5" s="15"/>
      <c r="G5" s="15"/>
      <c r="H5" s="17"/>
      <c r="I5" s="17"/>
      <c r="J5" s="17"/>
      <c r="K5" s="17"/>
    </row>
    <row r="6">
      <c r="A6" s="19" t="s">
        <v>4</v>
      </c>
      <c r="B6" s="11"/>
      <c r="C6" s="11"/>
      <c r="E6" s="2"/>
    </row>
    <row r="7">
      <c r="A7" s="19" t="s">
        <v>5</v>
      </c>
      <c r="B7" s="11"/>
      <c r="C7" s="11"/>
      <c r="E7" s="2"/>
    </row>
    <row r="8">
      <c r="A8" s="19"/>
      <c r="B8" s="11"/>
      <c r="C8" s="11"/>
      <c r="E8" s="2"/>
    </row>
    <row r="9">
      <c r="A9" s="19" t="s">
        <v>6</v>
      </c>
      <c r="B9" s="11"/>
      <c r="C9" s="11"/>
      <c r="E9" s="2"/>
    </row>
    <row r="10">
      <c r="A10" s="19" t="s">
        <v>7</v>
      </c>
      <c r="E10" s="11"/>
    </row>
    <row r="11">
      <c r="E11" s="11"/>
    </row>
    <row r="12" ht="33.0" customHeight="1">
      <c r="A12" s="105" t="s">
        <v>15</v>
      </c>
      <c r="B12" s="105" t="s">
        <v>17</v>
      </c>
      <c r="C12" s="105" t="s">
        <v>18</v>
      </c>
      <c r="D12" s="105" t="s">
        <v>19</v>
      </c>
      <c r="E12" s="20" t="s">
        <v>24</v>
      </c>
    </row>
    <row r="13">
      <c r="A13" s="37" t="s">
        <v>340</v>
      </c>
      <c r="B13" s="45" t="s">
        <v>341</v>
      </c>
      <c r="C13" s="57">
        <v>500.5</v>
      </c>
      <c r="D13" s="45">
        <f>'CALCULOS EXTRAS'!D6</f>
        <v>0</v>
      </c>
      <c r="E13" s="48">
        <f t="shared" ref="E13:E27" si="1">D13*C13</f>
        <v>0</v>
      </c>
    </row>
    <row r="14" ht="15.0" customHeight="1">
      <c r="A14" s="37" t="s">
        <v>345</v>
      </c>
      <c r="B14" s="106" t="s">
        <v>346</v>
      </c>
      <c r="C14" s="57">
        <v>957.6</v>
      </c>
      <c r="D14" s="45">
        <f>'CALCULOS EXTRAS'!D7</f>
        <v>0</v>
      </c>
      <c r="E14" s="48">
        <f t="shared" si="1"/>
        <v>0</v>
      </c>
    </row>
    <row r="15">
      <c r="A15" s="37" t="s">
        <v>347</v>
      </c>
      <c r="B15" s="45" t="s">
        <v>348</v>
      </c>
      <c r="C15" s="57">
        <v>1072.5</v>
      </c>
      <c r="D15" s="45">
        <f>'CALCULOS EXTRAS'!D8</f>
        <v>0</v>
      </c>
      <c r="E15" s="48">
        <f t="shared" si="1"/>
        <v>0</v>
      </c>
    </row>
    <row r="16">
      <c r="A16" s="37" t="s">
        <v>349</v>
      </c>
      <c r="B16" s="108" t="s">
        <v>350</v>
      </c>
      <c r="C16" s="111">
        <v>554.4</v>
      </c>
      <c r="D16" s="45">
        <f>'CALCULOS EXTRAS'!D9</f>
        <v>0</v>
      </c>
      <c r="E16" s="48">
        <f t="shared" si="1"/>
        <v>0</v>
      </c>
    </row>
    <row r="17">
      <c r="A17" s="37" t="s">
        <v>357</v>
      </c>
      <c r="B17" s="45" t="s">
        <v>358</v>
      </c>
      <c r="C17" s="111">
        <v>682.08</v>
      </c>
      <c r="D17" s="45">
        <f>'CALCULOS EXTRAS'!D10</f>
        <v>0</v>
      </c>
      <c r="E17" s="48">
        <f t="shared" si="1"/>
        <v>0</v>
      </c>
    </row>
    <row r="18">
      <c r="A18" s="37" t="s">
        <v>361</v>
      </c>
      <c r="B18" s="45" t="s">
        <v>362</v>
      </c>
      <c r="C18" s="111">
        <v>1399.44</v>
      </c>
      <c r="D18" s="45">
        <f>'CALCULOS EXTRAS'!D11</f>
        <v>0</v>
      </c>
      <c r="E18" s="48">
        <f t="shared" si="1"/>
        <v>0</v>
      </c>
    </row>
    <row r="19">
      <c r="A19" s="37" t="s">
        <v>365</v>
      </c>
      <c r="B19" s="45" t="s">
        <v>367</v>
      </c>
      <c r="C19" s="111">
        <v>907.2</v>
      </c>
      <c r="D19" s="45">
        <f>'CALCULOS EXTRAS'!D12</f>
        <v>0</v>
      </c>
      <c r="E19" s="48">
        <f t="shared" si="1"/>
        <v>0</v>
      </c>
    </row>
    <row r="20">
      <c r="A20" s="37" t="s">
        <v>369</v>
      </c>
      <c r="B20" s="45" t="s">
        <v>370</v>
      </c>
      <c r="C20" s="34">
        <v>1540.56</v>
      </c>
      <c r="D20" s="45">
        <f>'CALCULOS EXTRAS'!D13</f>
        <v>0</v>
      </c>
      <c r="E20" s="48">
        <f t="shared" si="1"/>
        <v>0</v>
      </c>
    </row>
    <row r="21" ht="15.75" customHeight="1">
      <c r="A21" s="37" t="s">
        <v>373</v>
      </c>
      <c r="B21" s="45" t="s">
        <v>374</v>
      </c>
      <c r="C21" s="34">
        <v>1041.6</v>
      </c>
      <c r="D21" s="45">
        <f>'CALCULOS EXTRAS'!D14</f>
        <v>0</v>
      </c>
      <c r="E21" s="48">
        <f t="shared" si="1"/>
        <v>0</v>
      </c>
    </row>
    <row r="22" ht="15.75" customHeight="1">
      <c r="A22" s="37" t="s">
        <v>377</v>
      </c>
      <c r="B22" s="45" t="s">
        <v>378</v>
      </c>
      <c r="C22" s="34">
        <v>560.16</v>
      </c>
      <c r="D22" s="45">
        <f>'CALCULOS EXTRAS'!D15</f>
        <v>0</v>
      </c>
      <c r="E22" s="48">
        <f t="shared" si="1"/>
        <v>0</v>
      </c>
    </row>
    <row r="23" ht="15.75" customHeight="1">
      <c r="A23" s="37" t="s">
        <v>381</v>
      </c>
      <c r="B23" s="45" t="s">
        <v>382</v>
      </c>
      <c r="C23" s="34">
        <v>1865.92</v>
      </c>
      <c r="D23" s="45">
        <f>'CALCULOS EXTRAS'!D16</f>
        <v>0</v>
      </c>
      <c r="E23" s="48">
        <f t="shared" si="1"/>
        <v>0</v>
      </c>
    </row>
    <row r="24" ht="15.75" customHeight="1">
      <c r="A24" s="37" t="s">
        <v>385</v>
      </c>
      <c r="B24" s="45" t="s">
        <v>386</v>
      </c>
      <c r="C24" s="34">
        <v>1072.5</v>
      </c>
      <c r="D24" s="45">
        <f>'CALCULOS EXTRAS'!D17</f>
        <v>0</v>
      </c>
      <c r="E24" s="48">
        <f t="shared" si="1"/>
        <v>0</v>
      </c>
    </row>
    <row r="25" ht="15.75" customHeight="1">
      <c r="A25" s="37" t="s">
        <v>389</v>
      </c>
      <c r="B25" s="45" t="s">
        <v>391</v>
      </c>
      <c r="C25" s="34">
        <v>1568.0</v>
      </c>
      <c r="D25" s="45">
        <f>'CALCULOS EXTRAS'!D18</f>
        <v>0</v>
      </c>
      <c r="E25" s="48">
        <f t="shared" si="1"/>
        <v>0</v>
      </c>
    </row>
    <row r="26" ht="15.0" customHeight="1">
      <c r="A26" s="37" t="s">
        <v>392</v>
      </c>
      <c r="B26" s="106" t="s">
        <v>393</v>
      </c>
      <c r="C26" s="57">
        <v>2054.08</v>
      </c>
      <c r="D26" s="45">
        <f>'CALCULOS EXTRAS'!D19</f>
        <v>0</v>
      </c>
      <c r="E26" s="48">
        <f t="shared" si="1"/>
        <v>0</v>
      </c>
    </row>
    <row r="27" ht="15.75" customHeight="1">
      <c r="A27" s="37" t="s">
        <v>394</v>
      </c>
      <c r="B27" s="45" t="s">
        <v>395</v>
      </c>
      <c r="C27" s="34">
        <v>672.0</v>
      </c>
      <c r="D27" s="45">
        <f>'CALCULOS EXTRAS'!D20</f>
        <v>0</v>
      </c>
      <c r="E27" s="48">
        <f t="shared" si="1"/>
        <v>0</v>
      </c>
    </row>
    <row r="28" ht="15.75" customHeight="1">
      <c r="B28" s="76" t="s">
        <v>243</v>
      </c>
      <c r="C28" s="79"/>
      <c r="D28" s="81">
        <f t="shared" ref="D28:E28" si="2">SUM(D13:D27)</f>
        <v>0</v>
      </c>
      <c r="E28" s="84">
        <f t="shared" si="2"/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H4:K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71.71"/>
    <col customWidth="1" min="3" max="3" width="13.29"/>
    <col customWidth="1" min="4" max="4" width="16.43"/>
    <col customWidth="1" min="5" max="5" width="14.43"/>
    <col customWidth="1" min="6" max="26" width="8.71"/>
  </cols>
  <sheetData>
    <row r="1">
      <c r="A1" s="7" t="s">
        <v>0</v>
      </c>
      <c r="B1" s="7"/>
      <c r="C1" s="7"/>
      <c r="D1" s="9"/>
      <c r="E1" s="11"/>
    </row>
    <row r="2">
      <c r="A2" s="13" t="s">
        <v>1</v>
      </c>
      <c r="B2" s="13"/>
      <c r="C2" s="13"/>
      <c r="D2" s="13"/>
      <c r="E2" s="11"/>
    </row>
    <row r="3">
      <c r="A3" s="13" t="s">
        <v>2</v>
      </c>
      <c r="B3" s="13"/>
      <c r="C3" s="13"/>
      <c r="D3" s="13"/>
      <c r="E3" s="11"/>
    </row>
    <row r="4">
      <c r="B4" s="15"/>
    </row>
    <row r="5">
      <c r="B5" s="15"/>
      <c r="C5" s="15"/>
      <c r="D5" s="15"/>
      <c r="E5" s="16"/>
    </row>
    <row r="6">
      <c r="A6" s="19" t="s">
        <v>4</v>
      </c>
      <c r="B6" s="11"/>
      <c r="C6" s="11"/>
      <c r="E6" s="2"/>
    </row>
    <row r="7">
      <c r="A7" s="19" t="s">
        <v>5</v>
      </c>
      <c r="B7" s="11"/>
      <c r="C7" s="11"/>
      <c r="E7" s="2"/>
    </row>
    <row r="8">
      <c r="A8" s="19"/>
      <c r="B8" s="11"/>
      <c r="C8" s="11"/>
      <c r="E8" s="2"/>
    </row>
    <row r="9">
      <c r="A9" s="19" t="s">
        <v>6</v>
      </c>
      <c r="B9" s="11"/>
      <c r="C9" s="11"/>
      <c r="E9" s="2"/>
    </row>
    <row r="10">
      <c r="A10" s="19" t="s">
        <v>7</v>
      </c>
    </row>
    <row r="12" ht="37.5" customHeight="1">
      <c r="A12" s="105" t="s">
        <v>15</v>
      </c>
      <c r="B12" s="105" t="s">
        <v>17</v>
      </c>
      <c r="C12" s="105" t="s">
        <v>18</v>
      </c>
      <c r="D12" s="105" t="s">
        <v>19</v>
      </c>
      <c r="E12" s="105" t="s">
        <v>24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37" t="s">
        <v>353</v>
      </c>
      <c r="B13" s="45" t="s">
        <v>354</v>
      </c>
      <c r="C13" s="33">
        <v>1824.74</v>
      </c>
      <c r="D13" s="45">
        <f>'CALCULOS EXTRAS'!E6</f>
        <v>0</v>
      </c>
      <c r="E13" s="48">
        <f t="shared" ref="E13:E22" si="1">D13*C13</f>
        <v>0</v>
      </c>
    </row>
    <row r="14">
      <c r="A14" s="37" t="s">
        <v>355</v>
      </c>
      <c r="B14" s="45" t="s">
        <v>356</v>
      </c>
      <c r="C14" s="33">
        <v>1399.44</v>
      </c>
      <c r="D14" s="45">
        <f>'CALCULOS EXTRAS'!E7</f>
        <v>0</v>
      </c>
      <c r="E14" s="48">
        <f t="shared" si="1"/>
        <v>0</v>
      </c>
    </row>
    <row r="15">
      <c r="A15" s="37" t="s">
        <v>359</v>
      </c>
      <c r="B15" s="45" t="s">
        <v>360</v>
      </c>
      <c r="C15" s="33">
        <v>1209.6</v>
      </c>
      <c r="D15" s="45">
        <f>'CALCULOS EXTRAS'!E8</f>
        <v>0</v>
      </c>
      <c r="E15" s="48">
        <f t="shared" si="1"/>
        <v>0</v>
      </c>
    </row>
    <row r="16">
      <c r="A16" s="37" t="s">
        <v>363</v>
      </c>
      <c r="B16" s="45" t="s">
        <v>364</v>
      </c>
      <c r="C16" s="33">
        <v>1344.0</v>
      </c>
      <c r="D16" s="45">
        <f>'CALCULOS EXTRAS'!E9</f>
        <v>0</v>
      </c>
      <c r="E16" s="48">
        <f t="shared" si="1"/>
        <v>0</v>
      </c>
    </row>
    <row r="17">
      <c r="A17" s="37" t="s">
        <v>366</v>
      </c>
      <c r="B17" s="45" t="s">
        <v>368</v>
      </c>
      <c r="C17" s="34">
        <v>1865.92</v>
      </c>
      <c r="D17" s="45">
        <f>'CALCULOS EXTRAS'!E10</f>
        <v>0</v>
      </c>
      <c r="E17" s="48">
        <f t="shared" si="1"/>
        <v>0</v>
      </c>
    </row>
    <row r="18">
      <c r="A18" s="37" t="s">
        <v>371</v>
      </c>
      <c r="B18" s="45" t="s">
        <v>372</v>
      </c>
      <c r="C18" s="34">
        <v>882.0</v>
      </c>
      <c r="D18" s="45">
        <f>'CALCULOS EXTRAS'!E11</f>
        <v>0</v>
      </c>
      <c r="E18" s="48">
        <f t="shared" si="1"/>
        <v>0</v>
      </c>
    </row>
    <row r="19">
      <c r="A19" s="37" t="s">
        <v>375</v>
      </c>
      <c r="B19" s="45" t="s">
        <v>376</v>
      </c>
      <c r="C19" s="34">
        <v>1568.0</v>
      </c>
      <c r="D19" s="45">
        <f>'CALCULOS EXTRAS'!E12</f>
        <v>0</v>
      </c>
      <c r="E19" s="48">
        <f t="shared" si="1"/>
        <v>0</v>
      </c>
    </row>
    <row r="20">
      <c r="A20" s="37" t="s">
        <v>379</v>
      </c>
      <c r="B20" s="45" t="s">
        <v>380</v>
      </c>
      <c r="C20" s="34">
        <v>2054.08</v>
      </c>
      <c r="D20" s="45">
        <f>'CALCULOS EXTRAS'!E13</f>
        <v>0</v>
      </c>
      <c r="E20" s="48">
        <f t="shared" si="1"/>
        <v>0</v>
      </c>
    </row>
    <row r="21" ht="15.75" customHeight="1">
      <c r="A21" s="37" t="s">
        <v>383</v>
      </c>
      <c r="B21" s="45" t="s">
        <v>384</v>
      </c>
      <c r="C21" s="34">
        <v>1568.0</v>
      </c>
      <c r="D21" s="45">
        <f>'CALCULOS EXTRAS'!E14</f>
        <v>0</v>
      </c>
      <c r="E21" s="48">
        <f t="shared" si="1"/>
        <v>0</v>
      </c>
    </row>
    <row r="22" ht="15.75" customHeight="1">
      <c r="A22" s="37" t="s">
        <v>388</v>
      </c>
      <c r="B22" s="45" t="s">
        <v>390</v>
      </c>
      <c r="C22" s="34">
        <v>2054.08</v>
      </c>
      <c r="D22" s="45">
        <f>'CALCULOS EXTRAS'!E15</f>
        <v>0</v>
      </c>
      <c r="E22" s="48">
        <f t="shared" si="1"/>
        <v>0</v>
      </c>
    </row>
    <row r="23" ht="15.75" customHeight="1">
      <c r="B23" s="76" t="s">
        <v>243</v>
      </c>
      <c r="C23" s="79"/>
      <c r="D23" s="81">
        <f t="shared" ref="D23:E23" si="2">SUM(D13:D22)</f>
        <v>0</v>
      </c>
      <c r="E23" s="84">
        <f t="shared" si="2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66.0"/>
    <col customWidth="1" min="3" max="3" width="15.14"/>
    <col customWidth="1" min="4" max="4" width="13.86"/>
    <col customWidth="1" min="5" max="5" width="12.86"/>
    <col customWidth="1" min="6" max="26" width="8.71"/>
  </cols>
  <sheetData>
    <row r="1">
      <c r="A1" s="7" t="s">
        <v>0</v>
      </c>
      <c r="B1" s="7"/>
      <c r="C1" s="7"/>
      <c r="D1" s="9"/>
      <c r="E1" s="11"/>
    </row>
    <row r="2">
      <c r="A2" s="13" t="s">
        <v>1</v>
      </c>
      <c r="B2" s="13"/>
      <c r="C2" s="13"/>
      <c r="D2" s="13"/>
      <c r="E2" s="11"/>
    </row>
    <row r="3">
      <c r="A3" s="13" t="s">
        <v>2</v>
      </c>
      <c r="B3" s="13"/>
      <c r="C3" s="13"/>
      <c r="D3" s="13"/>
      <c r="E3" s="11"/>
    </row>
    <row r="4">
      <c r="B4" s="15"/>
      <c r="H4" s="17"/>
    </row>
    <row r="5">
      <c r="B5" s="15"/>
      <c r="C5" s="15"/>
      <c r="D5" s="15"/>
      <c r="E5" s="16"/>
      <c r="F5" s="15"/>
      <c r="G5" s="15"/>
      <c r="H5" s="17"/>
      <c r="I5" s="17"/>
      <c r="J5" s="17"/>
      <c r="K5" s="17"/>
    </row>
    <row r="6">
      <c r="A6" s="19" t="s">
        <v>4</v>
      </c>
      <c r="B6" s="11"/>
      <c r="C6" s="11"/>
      <c r="E6" s="2"/>
    </row>
    <row r="7">
      <c r="A7" s="19" t="s">
        <v>5</v>
      </c>
      <c r="B7" s="11"/>
      <c r="C7" s="11"/>
      <c r="E7" s="2"/>
    </row>
    <row r="8">
      <c r="A8" s="19"/>
      <c r="B8" s="11"/>
      <c r="C8" s="11"/>
      <c r="E8" s="2"/>
    </row>
    <row r="9">
      <c r="A9" s="19" t="s">
        <v>6</v>
      </c>
      <c r="B9" s="11"/>
      <c r="C9" s="11"/>
      <c r="E9" s="2"/>
    </row>
    <row r="10">
      <c r="A10" s="19" t="s">
        <v>7</v>
      </c>
    </row>
    <row r="12" ht="39.75" customHeight="1">
      <c r="A12" s="105" t="s">
        <v>15</v>
      </c>
      <c r="B12" s="105" t="s">
        <v>17</v>
      </c>
      <c r="C12" s="105" t="s">
        <v>18</v>
      </c>
      <c r="D12" s="105" t="s">
        <v>19</v>
      </c>
      <c r="E12" s="105" t="s">
        <v>24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8" t="s">
        <v>401</v>
      </c>
      <c r="B13" s="45" t="s">
        <v>404</v>
      </c>
      <c r="C13" s="34">
        <v>0.0</v>
      </c>
      <c r="D13" s="45">
        <f>'CALCULOS EXTRAS'!F6</f>
        <v>0</v>
      </c>
      <c r="E13" s="48">
        <f t="shared" ref="E13:E28" si="1">D13*C13</f>
        <v>0</v>
      </c>
    </row>
    <row r="14">
      <c r="A14" s="118" t="s">
        <v>405</v>
      </c>
      <c r="B14" s="45" t="s">
        <v>406</v>
      </c>
      <c r="C14" s="34">
        <v>0.0</v>
      </c>
      <c r="D14" s="45">
        <f>'CALCULOS EXTRAS'!F7</f>
        <v>0</v>
      </c>
      <c r="E14" s="48">
        <f t="shared" si="1"/>
        <v>0</v>
      </c>
    </row>
    <row r="15">
      <c r="A15" s="118" t="s">
        <v>407</v>
      </c>
      <c r="B15" s="119" t="s">
        <v>408</v>
      </c>
      <c r="C15" s="34">
        <v>101.36</v>
      </c>
      <c r="D15" s="45">
        <f>'CALCULOS EXTRAS'!F8</f>
        <v>0</v>
      </c>
      <c r="E15" s="48">
        <f t="shared" si="1"/>
        <v>0</v>
      </c>
    </row>
    <row r="16">
      <c r="A16" s="118" t="s">
        <v>409</v>
      </c>
      <c r="B16" s="45" t="s">
        <v>410</v>
      </c>
      <c r="C16" s="34">
        <v>965.25</v>
      </c>
      <c r="D16" s="45">
        <f>'CALCULOS EXTRAS'!F9</f>
        <v>0</v>
      </c>
      <c r="E16" s="48">
        <f t="shared" si="1"/>
        <v>0</v>
      </c>
    </row>
    <row r="17">
      <c r="A17" s="118" t="s">
        <v>411</v>
      </c>
      <c r="B17" s="45" t="s">
        <v>412</v>
      </c>
      <c r="C17" s="34">
        <v>607.75</v>
      </c>
      <c r="D17" s="45">
        <f>'CALCULOS EXTRAS'!F10</f>
        <v>0</v>
      </c>
      <c r="E17" s="48">
        <f t="shared" si="1"/>
        <v>0</v>
      </c>
    </row>
    <row r="18">
      <c r="A18" s="118" t="s">
        <v>413</v>
      </c>
      <c r="B18" s="45" t="s">
        <v>414</v>
      </c>
      <c r="C18" s="34">
        <v>391.92</v>
      </c>
      <c r="D18" s="45">
        <f>'CALCULOS EXTRAS'!F11</f>
        <v>0</v>
      </c>
      <c r="E18" s="48">
        <f t="shared" si="1"/>
        <v>0</v>
      </c>
    </row>
    <row r="19">
      <c r="A19" s="118" t="s">
        <v>415</v>
      </c>
      <c r="B19" s="45" t="s">
        <v>416</v>
      </c>
      <c r="C19" s="34">
        <v>858.0</v>
      </c>
      <c r="D19" s="45">
        <f>'CALCULOS EXTRAS'!F12</f>
        <v>0</v>
      </c>
      <c r="E19" s="48">
        <f t="shared" si="1"/>
        <v>0</v>
      </c>
    </row>
    <row r="20">
      <c r="A20" s="118" t="s">
        <v>417</v>
      </c>
      <c r="B20" s="45" t="s">
        <v>418</v>
      </c>
      <c r="C20" s="34">
        <v>0.0</v>
      </c>
      <c r="D20" s="45">
        <f>'CALCULOS EXTRAS'!F13</f>
        <v>0</v>
      </c>
      <c r="E20" s="48">
        <f t="shared" si="1"/>
        <v>0</v>
      </c>
    </row>
    <row r="21" ht="15.75" customHeight="1">
      <c r="A21" s="118" t="s">
        <v>419</v>
      </c>
      <c r="B21" s="45" t="s">
        <v>420</v>
      </c>
      <c r="C21" s="34">
        <v>536.25</v>
      </c>
      <c r="D21" s="45">
        <f>'CALCULOS EXTRAS'!F14</f>
        <v>0</v>
      </c>
      <c r="E21" s="48">
        <f t="shared" si="1"/>
        <v>0</v>
      </c>
    </row>
    <row r="22" ht="15.75" customHeight="1">
      <c r="A22" s="118" t="s">
        <v>422</v>
      </c>
      <c r="B22" s="45" t="s">
        <v>424</v>
      </c>
      <c r="C22" s="34">
        <v>607.75</v>
      </c>
      <c r="D22" s="45">
        <f>'CALCULOS EXTRAS'!F15</f>
        <v>0</v>
      </c>
      <c r="E22" s="48">
        <f t="shared" si="1"/>
        <v>0</v>
      </c>
    </row>
    <row r="23" ht="15.75" customHeight="1">
      <c r="A23" s="118" t="s">
        <v>425</v>
      </c>
      <c r="B23" s="45" t="s">
        <v>426</v>
      </c>
      <c r="C23" s="34">
        <v>279.03</v>
      </c>
      <c r="D23" s="45">
        <f>'CALCULOS EXTRAS'!F16</f>
        <v>0</v>
      </c>
      <c r="E23" s="48">
        <f t="shared" si="1"/>
        <v>0</v>
      </c>
    </row>
    <row r="24" ht="15.75" customHeight="1">
      <c r="A24" s="118" t="s">
        <v>427</v>
      </c>
      <c r="B24" s="45" t="s">
        <v>428</v>
      </c>
      <c r="C24" s="34">
        <v>343.2</v>
      </c>
      <c r="D24" s="45">
        <f>'CALCULOS EXTRAS'!F17</f>
        <v>0</v>
      </c>
      <c r="E24" s="48">
        <f t="shared" si="1"/>
        <v>0</v>
      </c>
    </row>
    <row r="25" ht="15.75" customHeight="1">
      <c r="A25" s="118" t="s">
        <v>430</v>
      </c>
      <c r="B25" s="45" t="s">
        <v>431</v>
      </c>
      <c r="C25" s="34">
        <v>230.16</v>
      </c>
      <c r="D25" s="45">
        <f>'CALCULOS EXTRAS'!F18</f>
        <v>0</v>
      </c>
      <c r="E25" s="48">
        <f t="shared" si="1"/>
        <v>0</v>
      </c>
    </row>
    <row r="26" ht="15.75" customHeight="1">
      <c r="A26" s="118" t="s">
        <v>432</v>
      </c>
      <c r="B26" s="45" t="s">
        <v>433</v>
      </c>
      <c r="C26" s="34">
        <v>346.08</v>
      </c>
      <c r="D26" s="45">
        <f>'CALCULOS EXTRAS'!F19</f>
        <v>0</v>
      </c>
      <c r="E26" s="48">
        <f t="shared" si="1"/>
        <v>0</v>
      </c>
    </row>
    <row r="27" ht="15.75" customHeight="1">
      <c r="A27" s="118" t="s">
        <v>435</v>
      </c>
      <c r="B27" s="45" t="s">
        <v>436</v>
      </c>
      <c r="C27" s="34">
        <v>629.2</v>
      </c>
      <c r="D27" s="45">
        <f>'CALCULOS EXTRAS'!F20</f>
        <v>0</v>
      </c>
      <c r="E27" s="48">
        <f t="shared" si="1"/>
        <v>0</v>
      </c>
    </row>
    <row r="28" ht="15.75" customHeight="1">
      <c r="A28" s="118" t="s">
        <v>437</v>
      </c>
      <c r="B28" s="119" t="s">
        <v>438</v>
      </c>
      <c r="C28" s="34">
        <v>858.0</v>
      </c>
      <c r="D28" s="45">
        <f>'CALCULOS EXTRAS'!F21</f>
        <v>0</v>
      </c>
      <c r="E28" s="48">
        <f t="shared" si="1"/>
        <v>0</v>
      </c>
    </row>
    <row r="29" ht="15.75" customHeight="1">
      <c r="A29" s="45"/>
      <c r="B29" s="76" t="s">
        <v>243</v>
      </c>
      <c r="C29" s="79"/>
      <c r="D29" s="81">
        <f t="shared" ref="D29:E29" si="2">SUM(D13:D28)</f>
        <v>0</v>
      </c>
      <c r="E29" s="84">
        <f t="shared" si="2"/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H4:K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90.86"/>
    <col customWidth="1" min="3" max="3" width="15.71"/>
    <col customWidth="1" min="4" max="4" width="18.71"/>
    <col customWidth="1" min="5" max="5" width="14.14"/>
    <col customWidth="1" min="6" max="26" width="8.71"/>
  </cols>
  <sheetData>
    <row r="1">
      <c r="A1" s="7" t="s">
        <v>0</v>
      </c>
      <c r="B1" s="7"/>
      <c r="C1" s="123"/>
      <c r="D1" s="9"/>
      <c r="E1" s="11"/>
    </row>
    <row r="2">
      <c r="A2" s="13" t="s">
        <v>1</v>
      </c>
      <c r="B2" s="13"/>
      <c r="C2" s="125"/>
      <c r="D2" s="13"/>
      <c r="E2" s="11"/>
    </row>
    <row r="3">
      <c r="A3" s="13" t="s">
        <v>2</v>
      </c>
      <c r="B3" s="13"/>
      <c r="C3" s="125"/>
      <c r="D3" s="13"/>
      <c r="E3" s="11"/>
    </row>
    <row r="4">
      <c r="B4" s="15"/>
      <c r="H4" s="17"/>
    </row>
    <row r="5">
      <c r="B5" s="15"/>
      <c r="C5" s="126"/>
      <c r="D5" s="15"/>
      <c r="E5" s="16"/>
      <c r="F5" s="15"/>
      <c r="G5" s="15"/>
      <c r="H5" s="17"/>
      <c r="I5" s="17"/>
      <c r="J5" s="17"/>
      <c r="K5" s="17"/>
    </row>
    <row r="6">
      <c r="A6" s="19" t="s">
        <v>4</v>
      </c>
      <c r="B6" s="11"/>
      <c r="C6" s="127"/>
      <c r="E6" s="2"/>
    </row>
    <row r="7">
      <c r="A7" s="19" t="s">
        <v>5</v>
      </c>
      <c r="B7" s="11"/>
      <c r="C7" s="127"/>
      <c r="E7" s="2"/>
    </row>
    <row r="8">
      <c r="A8" s="19"/>
      <c r="B8" s="11"/>
      <c r="C8" s="127"/>
      <c r="E8" s="2"/>
    </row>
    <row r="9">
      <c r="A9" s="19" t="s">
        <v>22</v>
      </c>
      <c r="B9" s="11"/>
      <c r="C9" s="127"/>
      <c r="E9" s="2"/>
    </row>
    <row r="10">
      <c r="C10" s="73"/>
    </row>
    <row r="11">
      <c r="C11" s="73"/>
    </row>
    <row r="12">
      <c r="A12" s="20" t="s">
        <v>15</v>
      </c>
      <c r="B12" s="20" t="s">
        <v>17</v>
      </c>
      <c r="C12" s="128" t="s">
        <v>18</v>
      </c>
      <c r="D12" s="129" t="s">
        <v>19</v>
      </c>
      <c r="E12" s="20" t="s">
        <v>24</v>
      </c>
    </row>
    <row r="13">
      <c r="A13" s="37" t="s">
        <v>453</v>
      </c>
      <c r="B13" s="25" t="s">
        <v>454</v>
      </c>
      <c r="C13" s="131">
        <v>232.77</v>
      </c>
      <c r="D13" s="132">
        <f>'CALCULOS EXTRAS'!G6</f>
        <v>0</v>
      </c>
      <c r="E13" s="33">
        <f t="shared" ref="E13:E83" si="1">D13*C13</f>
        <v>0</v>
      </c>
    </row>
    <row r="14">
      <c r="A14" s="133" t="s">
        <v>458</v>
      </c>
      <c r="B14" s="54" t="s">
        <v>459</v>
      </c>
      <c r="C14" s="134">
        <v>215.91</v>
      </c>
      <c r="D14" s="132">
        <f>'CALCULOS EXTRAS'!G7</f>
        <v>0</v>
      </c>
      <c r="E14" s="33">
        <f t="shared" si="1"/>
        <v>0</v>
      </c>
    </row>
    <row r="15">
      <c r="A15" s="37" t="s">
        <v>461</v>
      </c>
      <c r="B15" s="45" t="s">
        <v>462</v>
      </c>
      <c r="C15" s="131">
        <v>61.56</v>
      </c>
      <c r="D15" s="132">
        <f>'CALCULOS EXTRAS'!G8</f>
        <v>0</v>
      </c>
      <c r="E15" s="33">
        <f t="shared" si="1"/>
        <v>0</v>
      </c>
    </row>
    <row r="16">
      <c r="A16" s="37" t="s">
        <v>463</v>
      </c>
      <c r="B16" s="45" t="s">
        <v>464</v>
      </c>
      <c r="C16" s="48">
        <v>278.61</v>
      </c>
      <c r="D16" s="132">
        <f>'CALCULOS EXTRAS'!G9</f>
        <v>0</v>
      </c>
      <c r="E16" s="33">
        <f t="shared" si="1"/>
        <v>0</v>
      </c>
    </row>
    <row r="17">
      <c r="A17" s="37" t="s">
        <v>465</v>
      </c>
      <c r="B17" s="45" t="s">
        <v>466</v>
      </c>
      <c r="C17" s="48">
        <v>0.0</v>
      </c>
      <c r="D17" s="132">
        <f>'CALCULOS EXTRAS'!G10</f>
        <v>0</v>
      </c>
      <c r="E17" s="33">
        <f t="shared" si="1"/>
        <v>0</v>
      </c>
    </row>
    <row r="18">
      <c r="A18" s="37" t="s">
        <v>469</v>
      </c>
      <c r="B18" s="45" t="s">
        <v>470</v>
      </c>
      <c r="C18" s="48">
        <v>1118.52</v>
      </c>
      <c r="D18" s="132">
        <f>'CALCULOS EXTRAS'!G11</f>
        <v>0</v>
      </c>
      <c r="E18" s="33">
        <f t="shared" si="1"/>
        <v>0</v>
      </c>
    </row>
    <row r="19">
      <c r="A19" s="37" t="s">
        <v>471</v>
      </c>
      <c r="B19" s="45" t="s">
        <v>472</v>
      </c>
      <c r="C19" s="48">
        <v>115.02</v>
      </c>
      <c r="D19" s="132">
        <f>'CALCULOS EXTRAS'!G12</f>
        <v>0</v>
      </c>
      <c r="E19" s="33">
        <f t="shared" si="1"/>
        <v>0</v>
      </c>
    </row>
    <row r="20">
      <c r="A20" s="37" t="s">
        <v>473</v>
      </c>
      <c r="B20" s="45" t="s">
        <v>474</v>
      </c>
      <c r="C20" s="48">
        <v>109.8</v>
      </c>
      <c r="D20" s="132">
        <f>'CALCULOS EXTRAS'!G13</f>
        <v>0</v>
      </c>
      <c r="E20" s="33">
        <f t="shared" si="1"/>
        <v>0</v>
      </c>
    </row>
    <row r="21" ht="15.75" customHeight="1">
      <c r="A21" s="37" t="s">
        <v>475</v>
      </c>
      <c r="B21" s="45" t="s">
        <v>476</v>
      </c>
      <c r="C21" s="48">
        <v>215.59</v>
      </c>
      <c r="D21" s="132">
        <f>'CALCULOS EXTRAS'!G14</f>
        <v>0</v>
      </c>
      <c r="E21" s="33">
        <f t="shared" si="1"/>
        <v>0</v>
      </c>
    </row>
    <row r="22" ht="15.75" customHeight="1">
      <c r="A22" s="37" t="s">
        <v>471</v>
      </c>
      <c r="B22" s="45" t="s">
        <v>472</v>
      </c>
      <c r="C22" s="48">
        <v>115.02</v>
      </c>
      <c r="D22" s="132">
        <f>'CALCULOS EXTRAS'!G15</f>
        <v>0</v>
      </c>
      <c r="E22" s="33">
        <f t="shared" si="1"/>
        <v>0</v>
      </c>
    </row>
    <row r="23" ht="15.75" customHeight="1">
      <c r="A23" s="37" t="s">
        <v>473</v>
      </c>
      <c r="B23" s="45" t="s">
        <v>477</v>
      </c>
      <c r="C23" s="48">
        <v>109.8</v>
      </c>
      <c r="D23" s="132">
        <f>'CALCULOS EXTRAS'!G16</f>
        <v>0</v>
      </c>
      <c r="E23" s="33">
        <f t="shared" si="1"/>
        <v>0</v>
      </c>
    </row>
    <row r="24" ht="15.75" customHeight="1">
      <c r="A24" s="37" t="s">
        <v>478</v>
      </c>
      <c r="B24" s="45" t="s">
        <v>479</v>
      </c>
      <c r="C24" s="48">
        <v>1029.44</v>
      </c>
      <c r="D24" s="132">
        <f>'CALCULOS EXTRAS'!G17</f>
        <v>0</v>
      </c>
      <c r="E24" s="33">
        <f t="shared" si="1"/>
        <v>0</v>
      </c>
    </row>
    <row r="25" ht="15.75" customHeight="1">
      <c r="A25" s="37" t="s">
        <v>480</v>
      </c>
      <c r="B25" s="45" t="s">
        <v>481</v>
      </c>
      <c r="C25" s="48">
        <v>741.69</v>
      </c>
      <c r="D25" s="132">
        <f>'CALCULOS EXTRAS'!G18</f>
        <v>0</v>
      </c>
      <c r="E25" s="33">
        <f t="shared" si="1"/>
        <v>0</v>
      </c>
    </row>
    <row r="26" ht="15.75" customHeight="1">
      <c r="A26" s="37" t="s">
        <v>482</v>
      </c>
      <c r="B26" s="45" t="s">
        <v>483</v>
      </c>
      <c r="C26" s="48">
        <v>368.64</v>
      </c>
      <c r="D26" s="132">
        <f>'CALCULOS EXTRAS'!G19</f>
        <v>0</v>
      </c>
      <c r="E26" s="33">
        <f t="shared" si="1"/>
        <v>0</v>
      </c>
    </row>
    <row r="27" ht="15.75" customHeight="1">
      <c r="A27" s="37" t="s">
        <v>484</v>
      </c>
      <c r="B27" s="45" t="s">
        <v>485</v>
      </c>
      <c r="C27" s="48">
        <v>784.95</v>
      </c>
      <c r="D27" s="132">
        <f>'CALCULOS EXTRAS'!G20</f>
        <v>0</v>
      </c>
      <c r="E27" s="33">
        <f t="shared" si="1"/>
        <v>0</v>
      </c>
    </row>
    <row r="28" ht="15.75" customHeight="1">
      <c r="A28" s="37" t="s">
        <v>486</v>
      </c>
      <c r="B28" s="45" t="s">
        <v>487</v>
      </c>
      <c r="C28" s="48">
        <v>0.0</v>
      </c>
      <c r="D28" s="132">
        <f>'CALCULOS EXTRAS'!G21</f>
        <v>0</v>
      </c>
      <c r="E28" s="33">
        <f t="shared" si="1"/>
        <v>0</v>
      </c>
    </row>
    <row r="29" ht="15.75" customHeight="1">
      <c r="A29" s="37" t="s">
        <v>489</v>
      </c>
      <c r="B29" s="45" t="s">
        <v>490</v>
      </c>
      <c r="C29" s="48">
        <v>337.74</v>
      </c>
      <c r="D29" s="132">
        <f>'CALCULOS EXTRAS'!G22</f>
        <v>0</v>
      </c>
      <c r="E29" s="33">
        <f t="shared" si="1"/>
        <v>0</v>
      </c>
    </row>
    <row r="30" ht="15.75" customHeight="1">
      <c r="A30" s="37" t="s">
        <v>491</v>
      </c>
      <c r="B30" s="45" t="s">
        <v>492</v>
      </c>
      <c r="C30" s="48">
        <v>160.66</v>
      </c>
      <c r="D30" s="132" t="str">
        <f>'CALCULOS EXTRAS'!G23</f>
        <v/>
      </c>
      <c r="E30" s="33">
        <f t="shared" si="1"/>
        <v>0</v>
      </c>
    </row>
    <row r="31" ht="15.75" customHeight="1">
      <c r="A31" s="37" t="s">
        <v>493</v>
      </c>
      <c r="B31" s="137" t="s">
        <v>494</v>
      </c>
      <c r="C31" s="48">
        <v>60.83</v>
      </c>
      <c r="D31" s="132" t="str">
        <f>'CALCULOS EXTRAS'!G24</f>
        <v/>
      </c>
      <c r="E31" s="33">
        <f t="shared" si="1"/>
        <v>0</v>
      </c>
    </row>
    <row r="32" ht="15.75" customHeight="1">
      <c r="A32" s="37" t="s">
        <v>495</v>
      </c>
      <c r="B32" s="45" t="s">
        <v>496</v>
      </c>
      <c r="C32" s="48">
        <v>215.11</v>
      </c>
      <c r="D32" s="132" t="str">
        <f>'CALCULOS EXTRAS'!G25</f>
        <v/>
      </c>
      <c r="E32" s="33">
        <f t="shared" si="1"/>
        <v>0</v>
      </c>
    </row>
    <row r="33" ht="15.75" customHeight="1">
      <c r="A33" s="37" t="s">
        <v>498</v>
      </c>
      <c r="B33" s="45" t="s">
        <v>499</v>
      </c>
      <c r="C33" s="48">
        <v>268.62</v>
      </c>
      <c r="D33" s="132" t="str">
        <f>'CALCULOS EXTRAS'!G26</f>
        <v/>
      </c>
      <c r="E33" s="33">
        <f t="shared" si="1"/>
        <v>0</v>
      </c>
    </row>
    <row r="34" ht="15.75" customHeight="1">
      <c r="A34" s="37" t="s">
        <v>500</v>
      </c>
      <c r="B34" s="45" t="s">
        <v>501</v>
      </c>
      <c r="C34" s="48">
        <v>0.0</v>
      </c>
      <c r="D34" s="132" t="str">
        <f>'CALCULOS EXTRAS'!G27</f>
        <v/>
      </c>
      <c r="E34" s="33">
        <f t="shared" si="1"/>
        <v>0</v>
      </c>
    </row>
    <row r="35" ht="15.75" customHeight="1">
      <c r="A35" s="37" t="s">
        <v>502</v>
      </c>
      <c r="B35" s="45" t="s">
        <v>503</v>
      </c>
      <c r="C35" s="48">
        <v>1535.03</v>
      </c>
      <c r="D35" s="132" t="str">
        <f>'CALCULOS EXTRAS'!G28</f>
        <v/>
      </c>
      <c r="E35" s="33">
        <f t="shared" si="1"/>
        <v>0</v>
      </c>
    </row>
    <row r="36" ht="15.75" customHeight="1">
      <c r="A36" s="37" t="s">
        <v>504</v>
      </c>
      <c r="B36" s="45" t="s">
        <v>505</v>
      </c>
      <c r="C36" s="48">
        <v>294.62</v>
      </c>
      <c r="D36" s="132" t="str">
        <f>'CALCULOS EXTRAS'!G29</f>
        <v/>
      </c>
      <c r="E36" s="33">
        <f t="shared" si="1"/>
        <v>0</v>
      </c>
    </row>
    <row r="37" ht="15.75" customHeight="1">
      <c r="A37" s="37" t="s">
        <v>506</v>
      </c>
      <c r="B37" s="45" t="s">
        <v>507</v>
      </c>
      <c r="C37" s="48">
        <v>139.99</v>
      </c>
      <c r="D37" s="132" t="str">
        <f>'CALCULOS EXTRAS'!G30</f>
        <v/>
      </c>
      <c r="E37" s="33">
        <f t="shared" si="1"/>
        <v>0</v>
      </c>
    </row>
    <row r="38" ht="15.75" customHeight="1">
      <c r="A38" s="37"/>
      <c r="B38" s="45" t="s">
        <v>508</v>
      </c>
      <c r="C38" s="48"/>
      <c r="D38" s="132"/>
      <c r="E38" s="33">
        <f t="shared" si="1"/>
        <v>0</v>
      </c>
    </row>
    <row r="39" ht="15.75" customHeight="1">
      <c r="A39" s="37" t="s">
        <v>509</v>
      </c>
      <c r="B39" s="45" t="s">
        <v>510</v>
      </c>
      <c r="C39" s="48"/>
      <c r="D39" s="132"/>
      <c r="E39" s="33">
        <f t="shared" si="1"/>
        <v>0</v>
      </c>
    </row>
    <row r="40" ht="15.75" customHeight="1">
      <c r="A40" s="37" t="s">
        <v>511</v>
      </c>
      <c r="B40" s="45" t="s">
        <v>512</v>
      </c>
      <c r="C40" s="48">
        <v>117.9</v>
      </c>
      <c r="D40" s="132"/>
      <c r="E40" s="33">
        <f t="shared" si="1"/>
        <v>0</v>
      </c>
    </row>
    <row r="41" ht="15.75" customHeight="1">
      <c r="A41" s="37" t="s">
        <v>513</v>
      </c>
      <c r="B41" s="45" t="s">
        <v>514</v>
      </c>
      <c r="C41" s="48">
        <v>1118.52</v>
      </c>
      <c r="D41" s="132"/>
      <c r="E41" s="33">
        <f t="shared" si="1"/>
        <v>0</v>
      </c>
    </row>
    <row r="42" ht="15.75" customHeight="1">
      <c r="A42" s="37" t="s">
        <v>515</v>
      </c>
      <c r="B42" s="45" t="s">
        <v>516</v>
      </c>
      <c r="C42" s="48">
        <v>186.66</v>
      </c>
      <c r="D42" s="132"/>
      <c r="E42" s="33">
        <f t="shared" si="1"/>
        <v>0</v>
      </c>
    </row>
    <row r="43" ht="15.75" customHeight="1">
      <c r="A43" s="37" t="s">
        <v>517</v>
      </c>
      <c r="B43" s="45" t="s">
        <v>518</v>
      </c>
      <c r="C43" s="48">
        <v>160.04</v>
      </c>
      <c r="D43" s="132"/>
      <c r="E43" s="33">
        <f t="shared" si="1"/>
        <v>0</v>
      </c>
    </row>
    <row r="44" ht="15.75" customHeight="1">
      <c r="A44" s="37" t="s">
        <v>519</v>
      </c>
      <c r="B44" s="45" t="s">
        <v>520</v>
      </c>
      <c r="C44" s="48">
        <v>92.91</v>
      </c>
      <c r="D44" s="132"/>
      <c r="E44" s="33">
        <f t="shared" si="1"/>
        <v>0</v>
      </c>
    </row>
    <row r="45" ht="15.75" customHeight="1">
      <c r="A45" s="37" t="s">
        <v>521</v>
      </c>
      <c r="B45" s="45" t="s">
        <v>522</v>
      </c>
      <c r="C45" s="48">
        <v>202.95</v>
      </c>
      <c r="D45" s="132"/>
      <c r="E45" s="33">
        <f t="shared" si="1"/>
        <v>0</v>
      </c>
    </row>
    <row r="46" ht="15.75" customHeight="1">
      <c r="A46" s="37" t="s">
        <v>524</v>
      </c>
      <c r="B46" s="45" t="s">
        <v>525</v>
      </c>
      <c r="C46" s="48">
        <v>170.76</v>
      </c>
      <c r="D46" s="132"/>
      <c r="E46" s="33">
        <f t="shared" si="1"/>
        <v>0</v>
      </c>
    </row>
    <row r="47" ht="15.75" customHeight="1">
      <c r="A47" s="37" t="s">
        <v>526</v>
      </c>
      <c r="B47" s="45" t="s">
        <v>527</v>
      </c>
      <c r="C47" s="48">
        <v>215.91</v>
      </c>
      <c r="D47" s="132"/>
      <c r="E47" s="33">
        <f t="shared" si="1"/>
        <v>0</v>
      </c>
    </row>
    <row r="48" ht="15.75" customHeight="1">
      <c r="A48" s="37" t="s">
        <v>528</v>
      </c>
      <c r="B48" s="45" t="s">
        <v>529</v>
      </c>
      <c r="C48" s="48">
        <v>115.51</v>
      </c>
      <c r="D48" s="132"/>
      <c r="E48" s="33">
        <f t="shared" si="1"/>
        <v>0</v>
      </c>
    </row>
    <row r="49" ht="15.75" customHeight="1">
      <c r="A49" s="37" t="s">
        <v>511</v>
      </c>
      <c r="B49" s="45" t="s">
        <v>530</v>
      </c>
      <c r="C49" s="48">
        <v>250.13</v>
      </c>
      <c r="D49" s="132"/>
      <c r="E49" s="33">
        <f t="shared" si="1"/>
        <v>0</v>
      </c>
    </row>
    <row r="50" ht="15.75" customHeight="1">
      <c r="A50" s="37" t="s">
        <v>531</v>
      </c>
      <c r="B50" s="45" t="s">
        <v>532</v>
      </c>
      <c r="C50" s="48">
        <v>55.96</v>
      </c>
      <c r="D50" s="132"/>
      <c r="E50" s="33">
        <f t="shared" si="1"/>
        <v>0</v>
      </c>
    </row>
    <row r="51" ht="15.75" customHeight="1">
      <c r="A51" s="37" t="s">
        <v>533</v>
      </c>
      <c r="B51" s="45" t="s">
        <v>534</v>
      </c>
      <c r="C51" s="48">
        <v>443.35</v>
      </c>
      <c r="D51" s="132"/>
      <c r="E51" s="33">
        <f t="shared" si="1"/>
        <v>0</v>
      </c>
    </row>
    <row r="52" ht="15.75" customHeight="1">
      <c r="A52" s="37" t="s">
        <v>125</v>
      </c>
      <c r="B52" s="45" t="s">
        <v>535</v>
      </c>
      <c r="C52" s="48">
        <v>328.44</v>
      </c>
      <c r="D52" s="132"/>
      <c r="E52" s="33">
        <f t="shared" si="1"/>
        <v>0</v>
      </c>
    </row>
    <row r="53" ht="15.75" customHeight="1">
      <c r="A53" s="37" t="s">
        <v>536</v>
      </c>
      <c r="B53" s="45" t="s">
        <v>537</v>
      </c>
      <c r="C53" s="48">
        <v>186.86</v>
      </c>
      <c r="D53" s="132"/>
      <c r="E53" s="33">
        <f t="shared" si="1"/>
        <v>0</v>
      </c>
    </row>
    <row r="54" ht="15.75" customHeight="1">
      <c r="A54" s="37" t="s">
        <v>538</v>
      </c>
      <c r="B54" s="45" t="s">
        <v>539</v>
      </c>
      <c r="C54" s="48">
        <v>385.41</v>
      </c>
      <c r="D54" s="132"/>
      <c r="E54" s="33">
        <f t="shared" si="1"/>
        <v>0</v>
      </c>
    </row>
    <row r="55" ht="15.75" customHeight="1">
      <c r="A55" s="37" t="s">
        <v>541</v>
      </c>
      <c r="B55" s="45" t="s">
        <v>542</v>
      </c>
      <c r="C55" s="48">
        <v>533.49</v>
      </c>
      <c r="D55" s="132"/>
      <c r="E55" s="33">
        <f t="shared" si="1"/>
        <v>0</v>
      </c>
    </row>
    <row r="56" ht="15.75" customHeight="1">
      <c r="A56" s="37" t="s">
        <v>544</v>
      </c>
      <c r="B56" s="45" t="s">
        <v>545</v>
      </c>
      <c r="C56" s="48">
        <v>168.05</v>
      </c>
      <c r="D56" s="132"/>
      <c r="E56" s="33">
        <f t="shared" si="1"/>
        <v>0</v>
      </c>
    </row>
    <row r="57" ht="15.75" customHeight="1">
      <c r="A57" s="37" t="s">
        <v>546</v>
      </c>
      <c r="B57" s="45" t="s">
        <v>547</v>
      </c>
      <c r="C57" s="48">
        <v>408.35</v>
      </c>
      <c r="D57" s="132"/>
      <c r="E57" s="33">
        <f t="shared" si="1"/>
        <v>0</v>
      </c>
    </row>
    <row r="58" ht="15.75" customHeight="1">
      <c r="A58" s="37" t="s">
        <v>548</v>
      </c>
      <c r="B58" s="45" t="s">
        <v>549</v>
      </c>
      <c r="C58" s="48">
        <v>106.55</v>
      </c>
      <c r="D58" s="132"/>
      <c r="E58" s="33">
        <f t="shared" si="1"/>
        <v>0</v>
      </c>
    </row>
    <row r="59" ht="15.75" customHeight="1">
      <c r="A59" s="37" t="s">
        <v>550</v>
      </c>
      <c r="B59" s="45" t="s">
        <v>551</v>
      </c>
      <c r="C59" s="48">
        <v>0.0</v>
      </c>
      <c r="D59" s="132"/>
      <c r="E59" s="33">
        <f t="shared" si="1"/>
        <v>0</v>
      </c>
    </row>
    <row r="60" ht="15.75" customHeight="1">
      <c r="A60" s="37" t="s">
        <v>552</v>
      </c>
      <c r="B60" s="45" t="s">
        <v>553</v>
      </c>
      <c r="C60" s="48">
        <v>1535.03</v>
      </c>
      <c r="D60" s="132"/>
      <c r="E60" s="33">
        <f t="shared" si="1"/>
        <v>0</v>
      </c>
    </row>
    <row r="61" ht="15.75" customHeight="1">
      <c r="A61" s="37" t="s">
        <v>554</v>
      </c>
      <c r="B61" s="45" t="s">
        <v>555</v>
      </c>
      <c r="C61" s="48">
        <v>1506.31</v>
      </c>
      <c r="D61" s="132"/>
      <c r="E61" s="33">
        <f t="shared" si="1"/>
        <v>0</v>
      </c>
    </row>
    <row r="62" ht="15.75" customHeight="1">
      <c r="A62" s="37" t="s">
        <v>556</v>
      </c>
      <c r="B62" s="45" t="s">
        <v>557</v>
      </c>
      <c r="C62" s="48">
        <v>1118.52</v>
      </c>
      <c r="D62" s="132"/>
      <c r="E62" s="33">
        <f t="shared" si="1"/>
        <v>0</v>
      </c>
    </row>
    <row r="63" ht="15.75" customHeight="1">
      <c r="A63" s="37" t="s">
        <v>558</v>
      </c>
      <c r="B63" s="45" t="s">
        <v>559</v>
      </c>
      <c r="C63" s="48">
        <v>19.45</v>
      </c>
      <c r="D63" s="132"/>
      <c r="E63" s="33">
        <f t="shared" si="1"/>
        <v>0</v>
      </c>
    </row>
    <row r="64" ht="15.75" customHeight="1">
      <c r="A64" s="37" t="s">
        <v>560</v>
      </c>
      <c r="B64" s="45" t="s">
        <v>561</v>
      </c>
      <c r="C64" s="48">
        <v>23.86</v>
      </c>
      <c r="D64" s="132"/>
      <c r="E64" s="33">
        <f t="shared" si="1"/>
        <v>0</v>
      </c>
    </row>
    <row r="65" ht="15.75" customHeight="1">
      <c r="A65" s="37" t="s">
        <v>562</v>
      </c>
      <c r="B65" s="45" t="s">
        <v>563</v>
      </c>
      <c r="C65" s="48">
        <v>350.0</v>
      </c>
      <c r="D65" s="132"/>
      <c r="E65" s="33">
        <f t="shared" si="1"/>
        <v>0</v>
      </c>
    </row>
    <row r="66" ht="15.75" customHeight="1">
      <c r="A66" s="37" t="s">
        <v>564</v>
      </c>
      <c r="B66" s="45" t="s">
        <v>565</v>
      </c>
      <c r="C66" s="48">
        <v>151.25</v>
      </c>
      <c r="D66" s="132"/>
      <c r="E66" s="33">
        <f t="shared" si="1"/>
        <v>0</v>
      </c>
    </row>
    <row r="67" ht="15.75" customHeight="1">
      <c r="A67" s="37" t="s">
        <v>566</v>
      </c>
      <c r="B67" s="45" t="s">
        <v>567</v>
      </c>
      <c r="C67" s="48">
        <v>170.11</v>
      </c>
      <c r="D67" s="132"/>
      <c r="E67" s="33">
        <f t="shared" si="1"/>
        <v>0</v>
      </c>
    </row>
    <row r="68" ht="15.75" customHeight="1">
      <c r="A68" s="37" t="s">
        <v>568</v>
      </c>
      <c r="B68" s="45" t="s">
        <v>569</v>
      </c>
      <c r="C68" s="48">
        <v>170.66</v>
      </c>
      <c r="D68" s="132"/>
      <c r="E68" s="33">
        <f t="shared" si="1"/>
        <v>0</v>
      </c>
    </row>
    <row r="69" ht="15.75" customHeight="1">
      <c r="A69" s="37" t="s">
        <v>570</v>
      </c>
      <c r="B69" s="45" t="s">
        <v>571</v>
      </c>
      <c r="C69" s="48">
        <v>1535.03</v>
      </c>
      <c r="D69" s="132"/>
      <c r="E69" s="33">
        <f t="shared" si="1"/>
        <v>0</v>
      </c>
    </row>
    <row r="70" ht="15.75" customHeight="1">
      <c r="A70" s="37" t="s">
        <v>572</v>
      </c>
      <c r="B70" s="45" t="s">
        <v>573</v>
      </c>
      <c r="C70" s="48">
        <v>1506.31</v>
      </c>
      <c r="D70" s="132"/>
      <c r="E70" s="33">
        <f t="shared" si="1"/>
        <v>0</v>
      </c>
    </row>
    <row r="71" ht="15.75" customHeight="1">
      <c r="A71" s="37" t="s">
        <v>574</v>
      </c>
      <c r="B71" s="45" t="s">
        <v>575</v>
      </c>
      <c r="C71" s="48">
        <v>84.36</v>
      </c>
      <c r="D71" s="132"/>
      <c r="E71" s="33">
        <f t="shared" si="1"/>
        <v>0</v>
      </c>
    </row>
    <row r="72" ht="15.75" customHeight="1">
      <c r="A72" s="37"/>
      <c r="B72" s="45"/>
      <c r="C72" s="48"/>
      <c r="D72" s="132"/>
      <c r="E72" s="33">
        <f t="shared" si="1"/>
        <v>0</v>
      </c>
    </row>
    <row r="73" ht="15.75" customHeight="1">
      <c r="A73" s="37"/>
      <c r="B73" s="25"/>
      <c r="C73" s="48"/>
      <c r="D73" s="132"/>
      <c r="E73" s="33">
        <f t="shared" si="1"/>
        <v>0</v>
      </c>
    </row>
    <row r="74" ht="15.75" customHeight="1">
      <c r="A74" s="37"/>
      <c r="B74" s="25"/>
      <c r="C74" s="131"/>
      <c r="D74" s="132"/>
      <c r="E74" s="33">
        <f t="shared" si="1"/>
        <v>0</v>
      </c>
    </row>
    <row r="75" ht="15.75" customHeight="1">
      <c r="A75" s="37"/>
      <c r="B75" s="45"/>
      <c r="C75" s="48"/>
      <c r="D75" s="132"/>
      <c r="E75" s="33">
        <f t="shared" si="1"/>
        <v>0</v>
      </c>
    </row>
    <row r="76" ht="15.75" customHeight="1">
      <c r="A76" s="37"/>
      <c r="B76" s="45"/>
      <c r="C76" s="48"/>
      <c r="D76" s="132"/>
      <c r="E76" s="33">
        <f t="shared" si="1"/>
        <v>0</v>
      </c>
    </row>
    <row r="77" ht="15.75" customHeight="1">
      <c r="A77" s="37"/>
      <c r="B77" s="45"/>
      <c r="C77" s="48"/>
      <c r="D77" s="132"/>
      <c r="E77" s="33">
        <f t="shared" si="1"/>
        <v>0</v>
      </c>
    </row>
    <row r="78" ht="15.75" customHeight="1">
      <c r="A78" s="37"/>
      <c r="B78" s="45"/>
      <c r="C78" s="48"/>
      <c r="D78" s="132"/>
      <c r="E78" s="33">
        <f t="shared" si="1"/>
        <v>0</v>
      </c>
    </row>
    <row r="79" ht="15.75" customHeight="1">
      <c r="A79" s="37"/>
      <c r="B79" s="45"/>
      <c r="C79" s="48"/>
      <c r="D79" s="132"/>
      <c r="E79" s="33">
        <f t="shared" si="1"/>
        <v>0</v>
      </c>
    </row>
    <row r="80" ht="15.75" customHeight="1">
      <c r="A80" s="37"/>
      <c r="B80" s="45"/>
      <c r="C80" s="48"/>
      <c r="D80" s="132"/>
      <c r="E80" s="33">
        <f t="shared" si="1"/>
        <v>0</v>
      </c>
    </row>
    <row r="81" ht="15.75" customHeight="1">
      <c r="A81" s="37"/>
      <c r="B81" s="45"/>
      <c r="C81" s="48"/>
      <c r="D81" s="132"/>
      <c r="E81" s="33">
        <f t="shared" si="1"/>
        <v>0</v>
      </c>
    </row>
    <row r="82" ht="15.75" customHeight="1">
      <c r="A82" s="37"/>
      <c r="B82" s="45"/>
      <c r="C82" s="48"/>
      <c r="D82" s="132"/>
      <c r="E82" s="33">
        <f t="shared" si="1"/>
        <v>0</v>
      </c>
    </row>
    <row r="83" ht="15.75" customHeight="1">
      <c r="A83" s="37"/>
      <c r="B83" s="45"/>
      <c r="C83" s="48"/>
      <c r="D83" s="132"/>
      <c r="E83" s="33">
        <f t="shared" si="1"/>
        <v>0</v>
      </c>
    </row>
    <row r="84" ht="15.75" customHeight="1">
      <c r="A84" s="133"/>
      <c r="B84" s="76" t="s">
        <v>243</v>
      </c>
      <c r="C84" s="142"/>
      <c r="D84" s="81">
        <f t="shared" ref="D84:E84" si="2">SUM(D13:D83)</f>
        <v>0</v>
      </c>
      <c r="E84" s="98">
        <f t="shared" si="2"/>
        <v>0</v>
      </c>
    </row>
    <row r="85" ht="15.75" customHeight="1">
      <c r="C85" s="73"/>
    </row>
    <row r="86" ht="15.75" customHeight="1">
      <c r="C86" s="73"/>
    </row>
    <row r="87" ht="15.75" customHeight="1">
      <c r="C87" s="73"/>
    </row>
    <row r="88" ht="15.75" customHeight="1">
      <c r="C88" s="73"/>
    </row>
    <row r="89" ht="15.75" customHeight="1">
      <c r="C89" s="73"/>
    </row>
    <row r="90" ht="15.75" customHeight="1">
      <c r="C90" s="73"/>
    </row>
    <row r="91" ht="15.75" customHeight="1">
      <c r="C91" s="73"/>
    </row>
    <row r="92" ht="15.75" customHeight="1">
      <c r="C92" s="73"/>
    </row>
    <row r="93" ht="15.75" customHeight="1">
      <c r="C93" s="73"/>
    </row>
    <row r="94" ht="15.75" customHeight="1">
      <c r="C94" s="73"/>
    </row>
    <row r="95" ht="15.75" customHeight="1">
      <c r="C95" s="73"/>
    </row>
    <row r="96" ht="15.75" customHeight="1">
      <c r="C96" s="73"/>
    </row>
    <row r="97" ht="15.75" customHeight="1">
      <c r="C97" s="73"/>
    </row>
    <row r="98" ht="15.75" customHeight="1">
      <c r="C98" s="73"/>
    </row>
    <row r="99" ht="15.75" customHeight="1">
      <c r="C99" s="73"/>
    </row>
    <row r="100" ht="15.75" customHeight="1">
      <c r="C100" s="73"/>
    </row>
    <row r="101" ht="15.75" customHeight="1">
      <c r="C101" s="73"/>
    </row>
    <row r="102" ht="15.75" customHeight="1">
      <c r="C102" s="73"/>
    </row>
    <row r="103" ht="15.75" customHeight="1">
      <c r="C103" s="73"/>
    </row>
    <row r="104" ht="15.75" customHeight="1">
      <c r="C104" s="73"/>
    </row>
    <row r="105" ht="15.75" customHeight="1">
      <c r="C105" s="73"/>
    </row>
    <row r="106" ht="15.75" customHeight="1">
      <c r="C106" s="73"/>
    </row>
    <row r="107" ht="15.75" customHeight="1">
      <c r="C107" s="73"/>
    </row>
    <row r="108" ht="15.75" customHeight="1">
      <c r="C108" s="73"/>
    </row>
    <row r="109" ht="15.75" customHeight="1">
      <c r="C109" s="73"/>
    </row>
    <row r="110" ht="15.75" customHeight="1">
      <c r="C110" s="73"/>
    </row>
    <row r="111" ht="15.75" customHeight="1">
      <c r="C111" s="73"/>
    </row>
    <row r="112" ht="15.75" customHeight="1">
      <c r="C112" s="73"/>
    </row>
    <row r="113" ht="15.75" customHeight="1">
      <c r="C113" s="73"/>
    </row>
    <row r="114" ht="15.75" customHeight="1">
      <c r="C114" s="73"/>
    </row>
    <row r="115" ht="15.75" customHeight="1">
      <c r="C115" s="73"/>
    </row>
    <row r="116" ht="15.75" customHeight="1">
      <c r="C116" s="73"/>
    </row>
    <row r="117" ht="15.75" customHeight="1">
      <c r="C117" s="73"/>
    </row>
    <row r="118" ht="15.75" customHeight="1">
      <c r="C118" s="73"/>
    </row>
    <row r="119" ht="15.75" customHeight="1">
      <c r="C119" s="73"/>
    </row>
    <row r="120" ht="15.75" customHeight="1">
      <c r="C120" s="73"/>
    </row>
    <row r="121" ht="15.75" customHeight="1">
      <c r="C121" s="73"/>
    </row>
    <row r="122" ht="15.75" customHeight="1">
      <c r="C122" s="73"/>
    </row>
    <row r="123" ht="15.75" customHeight="1">
      <c r="C123" s="73"/>
    </row>
    <row r="124" ht="15.75" customHeight="1">
      <c r="C124" s="73"/>
    </row>
    <row r="125" ht="15.75" customHeight="1">
      <c r="C125" s="73"/>
    </row>
    <row r="126" ht="15.75" customHeight="1">
      <c r="C126" s="73"/>
    </row>
    <row r="127" ht="15.75" customHeight="1">
      <c r="C127" s="73"/>
    </row>
    <row r="128" ht="15.75" customHeight="1">
      <c r="C128" s="73"/>
    </row>
    <row r="129" ht="15.75" customHeight="1">
      <c r="C129" s="73"/>
    </row>
    <row r="130" ht="15.75" customHeight="1">
      <c r="C130" s="73"/>
    </row>
    <row r="131" ht="15.75" customHeight="1">
      <c r="C131" s="73"/>
    </row>
    <row r="132" ht="15.75" customHeight="1">
      <c r="C132" s="73"/>
    </row>
    <row r="133" ht="15.75" customHeight="1">
      <c r="C133" s="73"/>
    </row>
    <row r="134" ht="15.75" customHeight="1">
      <c r="C134" s="73"/>
    </row>
    <row r="135" ht="15.75" customHeight="1">
      <c r="C135" s="73"/>
    </row>
    <row r="136" ht="15.75" customHeight="1">
      <c r="C136" s="73"/>
    </row>
    <row r="137" ht="15.75" customHeight="1">
      <c r="C137" s="73"/>
    </row>
    <row r="138" ht="15.75" customHeight="1">
      <c r="C138" s="73"/>
    </row>
    <row r="139" ht="15.75" customHeight="1">
      <c r="C139" s="73"/>
    </row>
    <row r="140" ht="15.75" customHeight="1">
      <c r="C140" s="73"/>
    </row>
    <row r="141" ht="15.75" customHeight="1">
      <c r="C141" s="73"/>
    </row>
    <row r="142" ht="15.75" customHeight="1">
      <c r="C142" s="73"/>
    </row>
    <row r="143" ht="15.75" customHeight="1">
      <c r="C143" s="73"/>
    </row>
    <row r="144" ht="15.75" customHeight="1">
      <c r="C144" s="73"/>
    </row>
    <row r="145" ht="15.75" customHeight="1">
      <c r="C145" s="73"/>
    </row>
    <row r="146" ht="15.75" customHeight="1">
      <c r="C146" s="73"/>
    </row>
    <row r="147" ht="15.75" customHeight="1">
      <c r="C147" s="73"/>
    </row>
    <row r="148" ht="15.75" customHeight="1">
      <c r="C148" s="73"/>
    </row>
    <row r="149" ht="15.75" customHeight="1">
      <c r="C149" s="73"/>
    </row>
    <row r="150" ht="15.75" customHeight="1">
      <c r="C150" s="73"/>
    </row>
    <row r="151" ht="15.75" customHeight="1">
      <c r="C151" s="73"/>
    </row>
    <row r="152" ht="15.75" customHeight="1">
      <c r="C152" s="73"/>
    </row>
    <row r="153" ht="15.75" customHeight="1">
      <c r="C153" s="73"/>
    </row>
    <row r="154" ht="15.75" customHeight="1">
      <c r="C154" s="73"/>
    </row>
    <row r="155" ht="15.75" customHeight="1">
      <c r="C155" s="73"/>
    </row>
    <row r="156" ht="15.75" customHeight="1">
      <c r="C156" s="73"/>
    </row>
    <row r="157" ht="15.75" customHeight="1">
      <c r="C157" s="73"/>
    </row>
    <row r="158" ht="15.75" customHeight="1">
      <c r="C158" s="73"/>
    </row>
    <row r="159" ht="15.75" customHeight="1">
      <c r="C159" s="73"/>
    </row>
    <row r="160" ht="15.75" customHeight="1">
      <c r="C160" s="73"/>
    </row>
    <row r="161" ht="15.75" customHeight="1">
      <c r="C161" s="73"/>
    </row>
    <row r="162" ht="15.75" customHeight="1">
      <c r="C162" s="73"/>
    </row>
    <row r="163" ht="15.75" customHeight="1">
      <c r="C163" s="73"/>
    </row>
    <row r="164" ht="15.75" customHeight="1">
      <c r="C164" s="73"/>
    </row>
    <row r="165" ht="15.75" customHeight="1">
      <c r="C165" s="73"/>
    </row>
    <row r="166" ht="15.75" customHeight="1">
      <c r="C166" s="73"/>
    </row>
    <row r="167" ht="15.75" customHeight="1">
      <c r="C167" s="73"/>
    </row>
    <row r="168" ht="15.75" customHeight="1">
      <c r="C168" s="73"/>
    </row>
    <row r="169" ht="15.75" customHeight="1">
      <c r="C169" s="73"/>
    </row>
    <row r="170" ht="15.75" customHeight="1">
      <c r="C170" s="73"/>
    </row>
    <row r="171" ht="15.75" customHeight="1">
      <c r="C171" s="73"/>
    </row>
    <row r="172" ht="15.75" customHeight="1">
      <c r="C172" s="73"/>
    </row>
    <row r="173" ht="15.75" customHeight="1">
      <c r="C173" s="73"/>
    </row>
    <row r="174" ht="15.75" customHeight="1">
      <c r="C174" s="73"/>
    </row>
    <row r="175" ht="15.75" customHeight="1">
      <c r="C175" s="73"/>
    </row>
    <row r="176" ht="15.75" customHeight="1">
      <c r="C176" s="73"/>
    </row>
    <row r="177" ht="15.75" customHeight="1">
      <c r="C177" s="73"/>
    </row>
    <row r="178" ht="15.75" customHeight="1">
      <c r="C178" s="73"/>
    </row>
    <row r="179" ht="15.75" customHeight="1">
      <c r="C179" s="73"/>
    </row>
    <row r="180" ht="15.75" customHeight="1">
      <c r="C180" s="73"/>
    </row>
    <row r="181" ht="15.75" customHeight="1">
      <c r="C181" s="73"/>
    </row>
    <row r="182" ht="15.75" customHeight="1">
      <c r="C182" s="73"/>
    </row>
    <row r="183" ht="15.75" customHeight="1">
      <c r="C183" s="73"/>
    </row>
    <row r="184" ht="15.75" customHeight="1">
      <c r="C184" s="73"/>
    </row>
    <row r="185" ht="15.75" customHeight="1">
      <c r="C185" s="73"/>
    </row>
    <row r="186" ht="15.75" customHeight="1">
      <c r="C186" s="73"/>
    </row>
    <row r="187" ht="15.75" customHeight="1">
      <c r="C187" s="73"/>
    </row>
    <row r="188" ht="15.75" customHeight="1">
      <c r="C188" s="73"/>
    </row>
    <row r="189" ht="15.75" customHeight="1">
      <c r="C189" s="73"/>
    </row>
    <row r="190" ht="15.75" customHeight="1">
      <c r="C190" s="73"/>
    </row>
    <row r="191" ht="15.75" customHeight="1">
      <c r="C191" s="73"/>
    </row>
    <row r="192" ht="15.75" customHeight="1">
      <c r="C192" s="73"/>
    </row>
    <row r="193" ht="15.75" customHeight="1">
      <c r="C193" s="73"/>
    </row>
    <row r="194" ht="15.75" customHeight="1">
      <c r="C194" s="73"/>
    </row>
    <row r="195" ht="15.75" customHeight="1">
      <c r="C195" s="73"/>
    </row>
    <row r="196" ht="15.75" customHeight="1">
      <c r="C196" s="73"/>
    </row>
    <row r="197" ht="15.75" customHeight="1">
      <c r="C197" s="73"/>
    </row>
    <row r="198" ht="15.75" customHeight="1">
      <c r="C198" s="73"/>
    </row>
    <row r="199" ht="15.75" customHeight="1">
      <c r="C199" s="73"/>
    </row>
    <row r="200" ht="15.75" customHeight="1">
      <c r="C200" s="73"/>
    </row>
    <row r="201" ht="15.75" customHeight="1">
      <c r="C201" s="73"/>
    </row>
    <row r="202" ht="15.75" customHeight="1">
      <c r="C202" s="73"/>
    </row>
    <row r="203" ht="15.75" customHeight="1">
      <c r="C203" s="73"/>
    </row>
    <row r="204" ht="15.75" customHeight="1">
      <c r="C204" s="73"/>
    </row>
    <row r="205" ht="15.75" customHeight="1">
      <c r="C205" s="73"/>
    </row>
    <row r="206" ht="15.75" customHeight="1">
      <c r="C206" s="73"/>
    </row>
    <row r="207" ht="15.75" customHeight="1">
      <c r="C207" s="73"/>
    </row>
    <row r="208" ht="15.75" customHeight="1">
      <c r="C208" s="73"/>
    </row>
    <row r="209" ht="15.75" customHeight="1">
      <c r="C209" s="73"/>
    </row>
    <row r="210" ht="15.75" customHeight="1">
      <c r="C210" s="73"/>
    </row>
    <row r="211" ht="15.75" customHeight="1">
      <c r="C211" s="73"/>
    </row>
    <row r="212" ht="15.75" customHeight="1">
      <c r="C212" s="73"/>
    </row>
    <row r="213" ht="15.75" customHeight="1">
      <c r="C213" s="73"/>
    </row>
    <row r="214" ht="15.75" customHeight="1">
      <c r="C214" s="73"/>
    </row>
    <row r="215" ht="15.75" customHeight="1">
      <c r="C215" s="73"/>
    </row>
    <row r="216" ht="15.75" customHeight="1">
      <c r="C216" s="73"/>
    </row>
    <row r="217" ht="15.75" customHeight="1">
      <c r="C217" s="73"/>
    </row>
    <row r="218" ht="15.75" customHeight="1">
      <c r="C218" s="73"/>
    </row>
    <row r="219" ht="15.75" customHeight="1">
      <c r="C219" s="73"/>
    </row>
    <row r="220" ht="15.75" customHeight="1">
      <c r="C220" s="73"/>
    </row>
    <row r="221" ht="15.75" customHeight="1">
      <c r="C221" s="73"/>
    </row>
    <row r="222" ht="15.75" customHeight="1">
      <c r="C222" s="73"/>
    </row>
    <row r="223" ht="15.75" customHeight="1">
      <c r="C223" s="73"/>
    </row>
    <row r="224" ht="15.75" customHeight="1">
      <c r="C224" s="73"/>
    </row>
    <row r="225" ht="15.75" customHeight="1">
      <c r="C225" s="73"/>
    </row>
    <row r="226" ht="15.75" customHeight="1">
      <c r="C226" s="73"/>
    </row>
    <row r="227" ht="15.75" customHeight="1">
      <c r="C227" s="73"/>
    </row>
    <row r="228" ht="15.75" customHeight="1">
      <c r="C228" s="73"/>
    </row>
    <row r="229" ht="15.75" customHeight="1">
      <c r="C229" s="73"/>
    </row>
    <row r="230" ht="15.75" customHeight="1">
      <c r="C230" s="73"/>
    </row>
    <row r="231" ht="15.75" customHeight="1">
      <c r="C231" s="73"/>
    </row>
    <row r="232" ht="15.75" customHeight="1">
      <c r="C232" s="73"/>
    </row>
    <row r="233" ht="15.75" customHeight="1">
      <c r="C233" s="73"/>
    </row>
    <row r="234" ht="15.75" customHeight="1">
      <c r="C234" s="73"/>
    </row>
    <row r="235" ht="15.75" customHeight="1">
      <c r="C235" s="73"/>
    </row>
    <row r="236" ht="15.75" customHeight="1">
      <c r="C236" s="73"/>
    </row>
    <row r="237" ht="15.75" customHeight="1">
      <c r="C237" s="73"/>
    </row>
    <row r="238" ht="15.75" customHeight="1">
      <c r="C238" s="73"/>
    </row>
    <row r="239" ht="15.75" customHeight="1">
      <c r="C239" s="73"/>
    </row>
    <row r="240" ht="15.75" customHeight="1">
      <c r="C240" s="73"/>
    </row>
    <row r="241" ht="15.75" customHeight="1">
      <c r="C241" s="73"/>
    </row>
    <row r="242" ht="15.75" customHeight="1">
      <c r="C242" s="73"/>
    </row>
    <row r="243" ht="15.75" customHeight="1">
      <c r="C243" s="73"/>
    </row>
    <row r="244" ht="15.75" customHeight="1">
      <c r="C244" s="73"/>
    </row>
    <row r="245" ht="15.75" customHeight="1">
      <c r="C245" s="73"/>
    </row>
    <row r="246" ht="15.75" customHeight="1">
      <c r="C246" s="73"/>
    </row>
    <row r="247" ht="15.75" customHeight="1">
      <c r="C247" s="73"/>
    </row>
    <row r="248" ht="15.75" customHeight="1">
      <c r="C248" s="73"/>
    </row>
    <row r="249" ht="15.75" customHeight="1">
      <c r="C249" s="73"/>
    </row>
    <row r="250" ht="15.75" customHeight="1">
      <c r="C250" s="73"/>
    </row>
    <row r="251" ht="15.75" customHeight="1">
      <c r="C251" s="73"/>
    </row>
    <row r="252" ht="15.75" customHeight="1">
      <c r="C252" s="73"/>
    </row>
    <row r="253" ht="15.75" customHeight="1">
      <c r="C253" s="73"/>
    </row>
    <row r="254" ht="15.75" customHeight="1">
      <c r="C254" s="73"/>
    </row>
    <row r="255" ht="15.75" customHeight="1">
      <c r="C255" s="73"/>
    </row>
    <row r="256" ht="15.75" customHeight="1">
      <c r="C256" s="73"/>
    </row>
    <row r="257" ht="15.75" customHeight="1">
      <c r="C257" s="73"/>
    </row>
    <row r="258" ht="15.75" customHeight="1">
      <c r="C258" s="73"/>
    </row>
    <row r="259" ht="15.75" customHeight="1">
      <c r="C259" s="73"/>
    </row>
    <row r="260" ht="15.75" customHeight="1">
      <c r="C260" s="73"/>
    </row>
    <row r="261" ht="15.75" customHeight="1">
      <c r="C261" s="73"/>
    </row>
    <row r="262" ht="15.75" customHeight="1">
      <c r="C262" s="73"/>
    </row>
    <row r="263" ht="15.75" customHeight="1">
      <c r="C263" s="73"/>
    </row>
    <row r="264" ht="15.75" customHeight="1">
      <c r="C264" s="73"/>
    </row>
    <row r="265" ht="15.75" customHeight="1">
      <c r="C265" s="73"/>
    </row>
    <row r="266" ht="15.75" customHeight="1">
      <c r="C266" s="73"/>
    </row>
    <row r="267" ht="15.75" customHeight="1">
      <c r="C267" s="73"/>
    </row>
    <row r="268" ht="15.75" customHeight="1">
      <c r="C268" s="73"/>
    </row>
    <row r="269" ht="15.75" customHeight="1">
      <c r="C269" s="73"/>
    </row>
    <row r="270" ht="15.75" customHeight="1">
      <c r="C270" s="73"/>
    </row>
    <row r="271" ht="15.75" customHeight="1">
      <c r="C271" s="73"/>
    </row>
    <row r="272" ht="15.75" customHeight="1">
      <c r="C272" s="73"/>
    </row>
    <row r="273" ht="15.75" customHeight="1">
      <c r="C273" s="73"/>
    </row>
    <row r="274" ht="15.75" customHeight="1">
      <c r="C274" s="73"/>
    </row>
    <row r="275" ht="15.75" customHeight="1">
      <c r="C275" s="73"/>
    </row>
    <row r="276" ht="15.75" customHeight="1">
      <c r="C276" s="73"/>
    </row>
    <row r="277" ht="15.75" customHeight="1">
      <c r="C277" s="73"/>
    </row>
    <row r="278" ht="15.75" customHeight="1">
      <c r="C278" s="73"/>
    </row>
    <row r="279" ht="15.75" customHeight="1">
      <c r="C279" s="73"/>
    </row>
    <row r="280" ht="15.75" customHeight="1">
      <c r="C280" s="73"/>
    </row>
    <row r="281" ht="15.75" customHeight="1">
      <c r="C281" s="73"/>
    </row>
    <row r="282" ht="15.75" customHeight="1">
      <c r="C282" s="73"/>
    </row>
    <row r="283" ht="15.75" customHeight="1">
      <c r="C283" s="73"/>
    </row>
    <row r="284" ht="15.75" customHeight="1">
      <c r="C284" s="73"/>
    </row>
    <row r="285" ht="15.75" customHeight="1">
      <c r="C285" s="73"/>
    </row>
    <row r="286" ht="15.75" customHeight="1">
      <c r="C286" s="73"/>
    </row>
    <row r="287" ht="15.75" customHeight="1">
      <c r="C287" s="73"/>
    </row>
    <row r="288" ht="15.75" customHeight="1">
      <c r="C288" s="73"/>
    </row>
    <row r="289" ht="15.75" customHeight="1">
      <c r="C289" s="73"/>
    </row>
    <row r="290" ht="15.75" customHeight="1">
      <c r="C290" s="73"/>
    </row>
    <row r="291" ht="15.75" customHeight="1">
      <c r="C291" s="73"/>
    </row>
    <row r="292" ht="15.75" customHeight="1">
      <c r="C292" s="73"/>
    </row>
    <row r="293" ht="15.75" customHeight="1">
      <c r="C293" s="73"/>
    </row>
    <row r="294" ht="15.75" customHeight="1">
      <c r="C294" s="73"/>
    </row>
    <row r="295" ht="15.75" customHeight="1">
      <c r="C295" s="73"/>
    </row>
    <row r="296" ht="15.75" customHeight="1">
      <c r="C296" s="73"/>
    </row>
    <row r="297" ht="15.75" customHeight="1">
      <c r="C297" s="73"/>
    </row>
    <row r="298" ht="15.75" customHeight="1">
      <c r="C298" s="73"/>
    </row>
    <row r="299" ht="15.75" customHeight="1">
      <c r="C299" s="73"/>
    </row>
    <row r="300" ht="15.75" customHeight="1">
      <c r="C300" s="73"/>
    </row>
    <row r="301" ht="15.75" customHeight="1">
      <c r="C301" s="73"/>
    </row>
    <row r="302" ht="15.75" customHeight="1">
      <c r="C302" s="73"/>
    </row>
    <row r="303" ht="15.75" customHeight="1">
      <c r="C303" s="73"/>
    </row>
    <row r="304" ht="15.75" customHeight="1">
      <c r="C304" s="73"/>
    </row>
    <row r="305" ht="15.75" customHeight="1">
      <c r="C305" s="73"/>
    </row>
    <row r="306" ht="15.75" customHeight="1">
      <c r="C306" s="73"/>
    </row>
    <row r="307" ht="15.75" customHeight="1">
      <c r="C307" s="73"/>
    </row>
    <row r="308" ht="15.75" customHeight="1">
      <c r="C308" s="73"/>
    </row>
    <row r="309" ht="15.75" customHeight="1">
      <c r="C309" s="73"/>
    </row>
    <row r="310" ht="15.75" customHeight="1">
      <c r="C310" s="73"/>
    </row>
    <row r="311" ht="15.75" customHeight="1">
      <c r="C311" s="73"/>
    </row>
    <row r="312" ht="15.75" customHeight="1">
      <c r="C312" s="73"/>
    </row>
    <row r="313" ht="15.75" customHeight="1">
      <c r="C313" s="73"/>
    </row>
    <row r="314" ht="15.75" customHeight="1">
      <c r="C314" s="73"/>
    </row>
    <row r="315" ht="15.75" customHeight="1">
      <c r="C315" s="73"/>
    </row>
    <row r="316" ht="15.75" customHeight="1">
      <c r="C316" s="73"/>
    </row>
    <row r="317" ht="15.75" customHeight="1">
      <c r="C317" s="73"/>
    </row>
    <row r="318" ht="15.75" customHeight="1">
      <c r="C318" s="73"/>
    </row>
    <row r="319" ht="15.75" customHeight="1">
      <c r="C319" s="73"/>
    </row>
    <row r="320" ht="15.75" customHeight="1">
      <c r="C320" s="73"/>
    </row>
    <row r="321" ht="15.75" customHeight="1">
      <c r="C321" s="73"/>
    </row>
    <row r="322" ht="15.75" customHeight="1">
      <c r="C322" s="73"/>
    </row>
    <row r="323" ht="15.75" customHeight="1">
      <c r="C323" s="73"/>
    </row>
    <row r="324" ht="15.75" customHeight="1">
      <c r="C324" s="73"/>
    </row>
    <row r="325" ht="15.75" customHeight="1">
      <c r="C325" s="73"/>
    </row>
    <row r="326" ht="15.75" customHeight="1">
      <c r="C326" s="73"/>
    </row>
    <row r="327" ht="15.75" customHeight="1">
      <c r="C327" s="73"/>
    </row>
    <row r="328" ht="15.75" customHeight="1">
      <c r="C328" s="73"/>
    </row>
    <row r="329" ht="15.75" customHeight="1">
      <c r="C329" s="73"/>
    </row>
    <row r="330" ht="15.75" customHeight="1">
      <c r="C330" s="73"/>
    </row>
    <row r="331" ht="15.75" customHeight="1">
      <c r="C331" s="73"/>
    </row>
    <row r="332" ht="15.75" customHeight="1">
      <c r="C332" s="73"/>
    </row>
    <row r="333" ht="15.75" customHeight="1">
      <c r="C333" s="73"/>
    </row>
    <row r="334" ht="15.75" customHeight="1">
      <c r="C334" s="73"/>
    </row>
    <row r="335" ht="15.75" customHeight="1">
      <c r="C335" s="73"/>
    </row>
    <row r="336" ht="15.75" customHeight="1">
      <c r="C336" s="73"/>
    </row>
    <row r="337" ht="15.75" customHeight="1">
      <c r="C337" s="73"/>
    </row>
    <row r="338" ht="15.75" customHeight="1">
      <c r="C338" s="73"/>
    </row>
    <row r="339" ht="15.75" customHeight="1">
      <c r="C339" s="73"/>
    </row>
    <row r="340" ht="15.75" customHeight="1">
      <c r="C340" s="73"/>
    </row>
    <row r="341" ht="15.75" customHeight="1">
      <c r="C341" s="73"/>
    </row>
    <row r="342" ht="15.75" customHeight="1">
      <c r="C342" s="73"/>
    </row>
    <row r="343" ht="15.75" customHeight="1">
      <c r="C343" s="73"/>
    </row>
    <row r="344" ht="15.75" customHeight="1">
      <c r="C344" s="73"/>
    </row>
    <row r="345" ht="15.75" customHeight="1">
      <c r="C345" s="73"/>
    </row>
    <row r="346" ht="15.75" customHeight="1">
      <c r="C346" s="73"/>
    </row>
    <row r="347" ht="15.75" customHeight="1">
      <c r="C347" s="73"/>
    </row>
    <row r="348" ht="15.75" customHeight="1">
      <c r="C348" s="73"/>
    </row>
    <row r="349" ht="15.75" customHeight="1">
      <c r="C349" s="73"/>
    </row>
    <row r="350" ht="15.75" customHeight="1">
      <c r="C350" s="73"/>
    </row>
    <row r="351" ht="15.75" customHeight="1">
      <c r="C351" s="73"/>
    </row>
    <row r="352" ht="15.75" customHeight="1">
      <c r="C352" s="73"/>
    </row>
    <row r="353" ht="15.75" customHeight="1">
      <c r="C353" s="73"/>
    </row>
    <row r="354" ht="15.75" customHeight="1">
      <c r="C354" s="73"/>
    </row>
    <row r="355" ht="15.75" customHeight="1">
      <c r="C355" s="73"/>
    </row>
    <row r="356" ht="15.75" customHeight="1">
      <c r="C356" s="73"/>
    </row>
    <row r="357" ht="15.75" customHeight="1">
      <c r="C357" s="73"/>
    </row>
    <row r="358" ht="15.75" customHeight="1">
      <c r="C358" s="73"/>
    </row>
    <row r="359" ht="15.75" customHeight="1">
      <c r="C359" s="73"/>
    </row>
    <row r="360" ht="15.75" customHeight="1">
      <c r="C360" s="73"/>
    </row>
    <row r="361" ht="15.75" customHeight="1">
      <c r="C361" s="73"/>
    </row>
    <row r="362" ht="15.75" customHeight="1">
      <c r="C362" s="73"/>
    </row>
    <row r="363" ht="15.75" customHeight="1">
      <c r="C363" s="73"/>
    </row>
    <row r="364" ht="15.75" customHeight="1">
      <c r="C364" s="73"/>
    </row>
    <row r="365" ht="15.75" customHeight="1">
      <c r="C365" s="73"/>
    </row>
    <row r="366" ht="15.75" customHeight="1">
      <c r="C366" s="73"/>
    </row>
    <row r="367" ht="15.75" customHeight="1">
      <c r="C367" s="73"/>
    </row>
    <row r="368" ht="15.75" customHeight="1">
      <c r="C368" s="73"/>
    </row>
    <row r="369" ht="15.75" customHeight="1">
      <c r="C369" s="73"/>
    </row>
    <row r="370" ht="15.75" customHeight="1">
      <c r="C370" s="73"/>
    </row>
    <row r="371" ht="15.75" customHeight="1">
      <c r="C371" s="73"/>
    </row>
    <row r="372" ht="15.75" customHeight="1">
      <c r="C372" s="73"/>
    </row>
    <row r="373" ht="15.75" customHeight="1">
      <c r="C373" s="73"/>
    </row>
    <row r="374" ht="15.75" customHeight="1">
      <c r="C374" s="73"/>
    </row>
    <row r="375" ht="15.75" customHeight="1">
      <c r="C375" s="73"/>
    </row>
    <row r="376" ht="15.75" customHeight="1">
      <c r="C376" s="73"/>
    </row>
    <row r="377" ht="15.75" customHeight="1">
      <c r="C377" s="73"/>
    </row>
    <row r="378" ht="15.75" customHeight="1">
      <c r="C378" s="73"/>
    </row>
    <row r="379" ht="15.75" customHeight="1">
      <c r="C379" s="73"/>
    </row>
    <row r="380" ht="15.75" customHeight="1">
      <c r="C380" s="73"/>
    </row>
    <row r="381" ht="15.75" customHeight="1">
      <c r="C381" s="73"/>
    </row>
    <row r="382" ht="15.75" customHeight="1">
      <c r="C382" s="73"/>
    </row>
    <row r="383" ht="15.75" customHeight="1">
      <c r="C383" s="73"/>
    </row>
    <row r="384" ht="15.75" customHeight="1">
      <c r="C384" s="73"/>
    </row>
    <row r="385" ht="15.75" customHeight="1">
      <c r="C385" s="73"/>
    </row>
    <row r="386" ht="15.75" customHeight="1">
      <c r="C386" s="73"/>
    </row>
    <row r="387" ht="15.75" customHeight="1">
      <c r="C387" s="73"/>
    </row>
    <row r="388" ht="15.75" customHeight="1">
      <c r="C388" s="73"/>
    </row>
    <row r="389" ht="15.75" customHeight="1">
      <c r="C389" s="73"/>
    </row>
    <row r="390" ht="15.75" customHeight="1">
      <c r="C390" s="73"/>
    </row>
    <row r="391" ht="15.75" customHeight="1">
      <c r="C391" s="73"/>
    </row>
    <row r="392" ht="15.75" customHeight="1">
      <c r="C392" s="73"/>
    </row>
    <row r="393" ht="15.75" customHeight="1">
      <c r="C393" s="73"/>
    </row>
    <row r="394" ht="15.75" customHeight="1">
      <c r="C394" s="73"/>
    </row>
    <row r="395" ht="15.75" customHeight="1">
      <c r="C395" s="73"/>
    </row>
    <row r="396" ht="15.75" customHeight="1">
      <c r="C396" s="73"/>
    </row>
    <row r="397" ht="15.75" customHeight="1">
      <c r="C397" s="73"/>
    </row>
    <row r="398" ht="15.75" customHeight="1">
      <c r="C398" s="73"/>
    </row>
    <row r="399" ht="15.75" customHeight="1">
      <c r="C399" s="73"/>
    </row>
    <row r="400" ht="15.75" customHeight="1">
      <c r="C400" s="73"/>
    </row>
    <row r="401" ht="15.75" customHeight="1">
      <c r="C401" s="73"/>
    </row>
    <row r="402" ht="15.75" customHeight="1">
      <c r="C402" s="73"/>
    </row>
    <row r="403" ht="15.75" customHeight="1">
      <c r="C403" s="73"/>
    </row>
    <row r="404" ht="15.75" customHeight="1">
      <c r="C404" s="73"/>
    </row>
    <row r="405" ht="15.75" customHeight="1">
      <c r="C405" s="73"/>
    </row>
    <row r="406" ht="15.75" customHeight="1">
      <c r="C406" s="73"/>
    </row>
    <row r="407" ht="15.75" customHeight="1">
      <c r="C407" s="73"/>
    </row>
    <row r="408" ht="15.75" customHeight="1">
      <c r="C408" s="73"/>
    </row>
    <row r="409" ht="15.75" customHeight="1">
      <c r="C409" s="73"/>
    </row>
    <row r="410" ht="15.75" customHeight="1">
      <c r="C410" s="73"/>
    </row>
    <row r="411" ht="15.75" customHeight="1">
      <c r="C411" s="73"/>
    </row>
    <row r="412" ht="15.75" customHeight="1">
      <c r="C412" s="73"/>
    </row>
    <row r="413" ht="15.75" customHeight="1">
      <c r="C413" s="73"/>
    </row>
    <row r="414" ht="15.75" customHeight="1">
      <c r="C414" s="73"/>
    </row>
    <row r="415" ht="15.75" customHeight="1">
      <c r="C415" s="73"/>
    </row>
    <row r="416" ht="15.75" customHeight="1">
      <c r="C416" s="73"/>
    </row>
    <row r="417" ht="15.75" customHeight="1">
      <c r="C417" s="73"/>
    </row>
    <row r="418" ht="15.75" customHeight="1">
      <c r="C418" s="73"/>
    </row>
    <row r="419" ht="15.75" customHeight="1">
      <c r="C419" s="73"/>
    </row>
    <row r="420" ht="15.75" customHeight="1">
      <c r="C420" s="73"/>
    </row>
    <row r="421" ht="15.75" customHeight="1">
      <c r="C421" s="73"/>
    </row>
    <row r="422" ht="15.75" customHeight="1">
      <c r="C422" s="73"/>
    </row>
    <row r="423" ht="15.75" customHeight="1">
      <c r="C423" s="73"/>
    </row>
    <row r="424" ht="15.75" customHeight="1">
      <c r="C424" s="73"/>
    </row>
    <row r="425" ht="15.75" customHeight="1">
      <c r="C425" s="73"/>
    </row>
    <row r="426" ht="15.75" customHeight="1">
      <c r="C426" s="73"/>
    </row>
    <row r="427" ht="15.75" customHeight="1">
      <c r="C427" s="73"/>
    </row>
    <row r="428" ht="15.75" customHeight="1">
      <c r="C428" s="73"/>
    </row>
    <row r="429" ht="15.75" customHeight="1">
      <c r="C429" s="73"/>
    </row>
    <row r="430" ht="15.75" customHeight="1">
      <c r="C430" s="73"/>
    </row>
    <row r="431" ht="15.75" customHeight="1">
      <c r="C431" s="73"/>
    </row>
    <row r="432" ht="15.75" customHeight="1">
      <c r="C432" s="73"/>
    </row>
    <row r="433" ht="15.75" customHeight="1">
      <c r="C433" s="73"/>
    </row>
    <row r="434" ht="15.75" customHeight="1">
      <c r="C434" s="73"/>
    </row>
    <row r="435" ht="15.75" customHeight="1">
      <c r="C435" s="73"/>
    </row>
    <row r="436" ht="15.75" customHeight="1">
      <c r="C436" s="73"/>
    </row>
    <row r="437" ht="15.75" customHeight="1">
      <c r="C437" s="73"/>
    </row>
    <row r="438" ht="15.75" customHeight="1">
      <c r="C438" s="73"/>
    </row>
    <row r="439" ht="15.75" customHeight="1">
      <c r="C439" s="73"/>
    </row>
    <row r="440" ht="15.75" customHeight="1">
      <c r="C440" s="73"/>
    </row>
    <row r="441" ht="15.75" customHeight="1">
      <c r="C441" s="73"/>
    </row>
    <row r="442" ht="15.75" customHeight="1">
      <c r="C442" s="73"/>
    </row>
    <row r="443" ht="15.75" customHeight="1">
      <c r="C443" s="73"/>
    </row>
    <row r="444" ht="15.75" customHeight="1">
      <c r="C444" s="73"/>
    </row>
    <row r="445" ht="15.75" customHeight="1">
      <c r="C445" s="73"/>
    </row>
    <row r="446" ht="15.75" customHeight="1">
      <c r="C446" s="73"/>
    </row>
    <row r="447" ht="15.75" customHeight="1">
      <c r="C447" s="73"/>
    </row>
    <row r="448" ht="15.75" customHeight="1">
      <c r="C448" s="73"/>
    </row>
    <row r="449" ht="15.75" customHeight="1">
      <c r="C449" s="73"/>
    </row>
    <row r="450" ht="15.75" customHeight="1">
      <c r="C450" s="73"/>
    </row>
    <row r="451" ht="15.75" customHeight="1">
      <c r="C451" s="73"/>
    </row>
    <row r="452" ht="15.75" customHeight="1">
      <c r="C452" s="73"/>
    </row>
    <row r="453" ht="15.75" customHeight="1">
      <c r="C453" s="73"/>
    </row>
    <row r="454" ht="15.75" customHeight="1">
      <c r="C454" s="73"/>
    </row>
    <row r="455" ht="15.75" customHeight="1">
      <c r="C455" s="73"/>
    </row>
    <row r="456" ht="15.75" customHeight="1">
      <c r="C456" s="73"/>
    </row>
    <row r="457" ht="15.75" customHeight="1">
      <c r="C457" s="73"/>
    </row>
    <row r="458" ht="15.75" customHeight="1">
      <c r="C458" s="73"/>
    </row>
    <row r="459" ht="15.75" customHeight="1">
      <c r="C459" s="73"/>
    </row>
    <row r="460" ht="15.75" customHeight="1">
      <c r="C460" s="73"/>
    </row>
    <row r="461" ht="15.75" customHeight="1">
      <c r="C461" s="73"/>
    </row>
    <row r="462" ht="15.75" customHeight="1">
      <c r="C462" s="73"/>
    </row>
    <row r="463" ht="15.75" customHeight="1">
      <c r="C463" s="73"/>
    </row>
    <row r="464" ht="15.75" customHeight="1">
      <c r="C464" s="73"/>
    </row>
    <row r="465" ht="15.75" customHeight="1">
      <c r="C465" s="73"/>
    </row>
    <row r="466" ht="15.75" customHeight="1">
      <c r="C466" s="73"/>
    </row>
    <row r="467" ht="15.75" customHeight="1">
      <c r="C467" s="73"/>
    </row>
    <row r="468" ht="15.75" customHeight="1">
      <c r="C468" s="73"/>
    </row>
    <row r="469" ht="15.75" customHeight="1">
      <c r="C469" s="73"/>
    </row>
    <row r="470" ht="15.75" customHeight="1">
      <c r="C470" s="73"/>
    </row>
    <row r="471" ht="15.75" customHeight="1">
      <c r="C471" s="73"/>
    </row>
    <row r="472" ht="15.75" customHeight="1">
      <c r="C472" s="73"/>
    </row>
    <row r="473" ht="15.75" customHeight="1">
      <c r="C473" s="73"/>
    </row>
    <row r="474" ht="15.75" customHeight="1">
      <c r="C474" s="73"/>
    </row>
    <row r="475" ht="15.75" customHeight="1">
      <c r="C475" s="73"/>
    </row>
    <row r="476" ht="15.75" customHeight="1">
      <c r="C476" s="73"/>
    </row>
    <row r="477" ht="15.75" customHeight="1">
      <c r="C477" s="73"/>
    </row>
    <row r="478" ht="15.75" customHeight="1">
      <c r="C478" s="73"/>
    </row>
    <row r="479" ht="15.75" customHeight="1">
      <c r="C479" s="73"/>
    </row>
    <row r="480" ht="15.75" customHeight="1">
      <c r="C480" s="73"/>
    </row>
    <row r="481" ht="15.75" customHeight="1">
      <c r="C481" s="73"/>
    </row>
    <row r="482" ht="15.75" customHeight="1">
      <c r="C482" s="73"/>
    </row>
    <row r="483" ht="15.75" customHeight="1">
      <c r="C483" s="73"/>
    </row>
    <row r="484" ht="15.75" customHeight="1">
      <c r="C484" s="73"/>
    </row>
    <row r="485" ht="15.75" customHeight="1">
      <c r="C485" s="73"/>
    </row>
    <row r="486" ht="15.75" customHeight="1">
      <c r="C486" s="73"/>
    </row>
    <row r="487" ht="15.75" customHeight="1">
      <c r="C487" s="73"/>
    </row>
    <row r="488" ht="15.75" customHeight="1">
      <c r="C488" s="73"/>
    </row>
    <row r="489" ht="15.75" customHeight="1">
      <c r="C489" s="73"/>
    </row>
    <row r="490" ht="15.75" customHeight="1">
      <c r="C490" s="73"/>
    </row>
    <row r="491" ht="15.75" customHeight="1">
      <c r="C491" s="73"/>
    </row>
    <row r="492" ht="15.75" customHeight="1">
      <c r="C492" s="73"/>
    </row>
    <row r="493" ht="15.75" customHeight="1">
      <c r="C493" s="73"/>
    </row>
    <row r="494" ht="15.75" customHeight="1">
      <c r="C494" s="73"/>
    </row>
    <row r="495" ht="15.75" customHeight="1">
      <c r="C495" s="73"/>
    </row>
    <row r="496" ht="15.75" customHeight="1">
      <c r="C496" s="73"/>
    </row>
    <row r="497" ht="15.75" customHeight="1">
      <c r="C497" s="73"/>
    </row>
    <row r="498" ht="15.75" customHeight="1">
      <c r="C498" s="73"/>
    </row>
    <row r="499" ht="15.75" customHeight="1">
      <c r="C499" s="73"/>
    </row>
    <row r="500" ht="15.75" customHeight="1">
      <c r="C500" s="73"/>
    </row>
    <row r="501" ht="15.75" customHeight="1">
      <c r="C501" s="73"/>
    </row>
    <row r="502" ht="15.75" customHeight="1">
      <c r="C502" s="73"/>
    </row>
    <row r="503" ht="15.75" customHeight="1">
      <c r="C503" s="73"/>
    </row>
    <row r="504" ht="15.75" customHeight="1">
      <c r="C504" s="73"/>
    </row>
    <row r="505" ht="15.75" customHeight="1">
      <c r="C505" s="73"/>
    </row>
    <row r="506" ht="15.75" customHeight="1">
      <c r="C506" s="73"/>
    </row>
    <row r="507" ht="15.75" customHeight="1">
      <c r="C507" s="73"/>
    </row>
    <row r="508" ht="15.75" customHeight="1">
      <c r="C508" s="73"/>
    </row>
    <row r="509" ht="15.75" customHeight="1">
      <c r="C509" s="73"/>
    </row>
    <row r="510" ht="15.75" customHeight="1">
      <c r="C510" s="73"/>
    </row>
    <row r="511" ht="15.75" customHeight="1">
      <c r="C511" s="73"/>
    </row>
    <row r="512" ht="15.75" customHeight="1">
      <c r="C512" s="73"/>
    </row>
    <row r="513" ht="15.75" customHeight="1">
      <c r="C513" s="73"/>
    </row>
    <row r="514" ht="15.75" customHeight="1">
      <c r="C514" s="73"/>
    </row>
    <row r="515" ht="15.75" customHeight="1">
      <c r="C515" s="73"/>
    </row>
    <row r="516" ht="15.75" customHeight="1">
      <c r="C516" s="73"/>
    </row>
    <row r="517" ht="15.75" customHeight="1">
      <c r="C517" s="73"/>
    </row>
    <row r="518" ht="15.75" customHeight="1">
      <c r="C518" s="73"/>
    </row>
    <row r="519" ht="15.75" customHeight="1">
      <c r="C519" s="73"/>
    </row>
    <row r="520" ht="15.75" customHeight="1">
      <c r="C520" s="73"/>
    </row>
    <row r="521" ht="15.75" customHeight="1">
      <c r="C521" s="73"/>
    </row>
    <row r="522" ht="15.75" customHeight="1">
      <c r="C522" s="73"/>
    </row>
    <row r="523" ht="15.75" customHeight="1">
      <c r="C523" s="73"/>
    </row>
    <row r="524" ht="15.75" customHeight="1">
      <c r="C524" s="73"/>
    </row>
    <row r="525" ht="15.75" customHeight="1">
      <c r="C525" s="73"/>
    </row>
    <row r="526" ht="15.75" customHeight="1">
      <c r="C526" s="73"/>
    </row>
    <row r="527" ht="15.75" customHeight="1">
      <c r="C527" s="73"/>
    </row>
    <row r="528" ht="15.75" customHeight="1">
      <c r="C528" s="73"/>
    </row>
    <row r="529" ht="15.75" customHeight="1">
      <c r="C529" s="73"/>
    </row>
    <row r="530" ht="15.75" customHeight="1">
      <c r="C530" s="73"/>
    </row>
    <row r="531" ht="15.75" customHeight="1">
      <c r="C531" s="73"/>
    </row>
    <row r="532" ht="15.75" customHeight="1">
      <c r="C532" s="73"/>
    </row>
    <row r="533" ht="15.75" customHeight="1">
      <c r="C533" s="73"/>
    </row>
    <row r="534" ht="15.75" customHeight="1">
      <c r="C534" s="73"/>
    </row>
    <row r="535" ht="15.75" customHeight="1">
      <c r="C535" s="73"/>
    </row>
    <row r="536" ht="15.75" customHeight="1">
      <c r="C536" s="73"/>
    </row>
    <row r="537" ht="15.75" customHeight="1">
      <c r="C537" s="73"/>
    </row>
    <row r="538" ht="15.75" customHeight="1">
      <c r="C538" s="73"/>
    </row>
    <row r="539" ht="15.75" customHeight="1">
      <c r="C539" s="73"/>
    </row>
    <row r="540" ht="15.75" customHeight="1">
      <c r="C540" s="73"/>
    </row>
    <row r="541" ht="15.75" customHeight="1">
      <c r="C541" s="73"/>
    </row>
    <row r="542" ht="15.75" customHeight="1">
      <c r="C542" s="73"/>
    </row>
    <row r="543" ht="15.75" customHeight="1">
      <c r="C543" s="73"/>
    </row>
    <row r="544" ht="15.75" customHeight="1">
      <c r="C544" s="73"/>
    </row>
    <row r="545" ht="15.75" customHeight="1">
      <c r="C545" s="73"/>
    </row>
    <row r="546" ht="15.75" customHeight="1">
      <c r="C546" s="73"/>
    </row>
    <row r="547" ht="15.75" customHeight="1">
      <c r="C547" s="73"/>
    </row>
    <row r="548" ht="15.75" customHeight="1">
      <c r="C548" s="73"/>
    </row>
    <row r="549" ht="15.75" customHeight="1">
      <c r="C549" s="73"/>
    </row>
    <row r="550" ht="15.75" customHeight="1">
      <c r="C550" s="73"/>
    </row>
    <row r="551" ht="15.75" customHeight="1">
      <c r="C551" s="73"/>
    </row>
    <row r="552" ht="15.75" customHeight="1">
      <c r="C552" s="73"/>
    </row>
    <row r="553" ht="15.75" customHeight="1">
      <c r="C553" s="73"/>
    </row>
    <row r="554" ht="15.75" customHeight="1">
      <c r="C554" s="73"/>
    </row>
    <row r="555" ht="15.75" customHeight="1">
      <c r="C555" s="73"/>
    </row>
    <row r="556" ht="15.75" customHeight="1">
      <c r="C556" s="73"/>
    </row>
    <row r="557" ht="15.75" customHeight="1">
      <c r="C557" s="73"/>
    </row>
    <row r="558" ht="15.75" customHeight="1">
      <c r="C558" s="73"/>
    </row>
    <row r="559" ht="15.75" customHeight="1">
      <c r="C559" s="73"/>
    </row>
    <row r="560" ht="15.75" customHeight="1">
      <c r="C560" s="73"/>
    </row>
    <row r="561" ht="15.75" customHeight="1">
      <c r="C561" s="73"/>
    </row>
    <row r="562" ht="15.75" customHeight="1">
      <c r="C562" s="73"/>
    </row>
    <row r="563" ht="15.75" customHeight="1">
      <c r="C563" s="73"/>
    </row>
    <row r="564" ht="15.75" customHeight="1">
      <c r="C564" s="73"/>
    </row>
    <row r="565" ht="15.75" customHeight="1">
      <c r="C565" s="73"/>
    </row>
    <row r="566" ht="15.75" customHeight="1">
      <c r="C566" s="73"/>
    </row>
    <row r="567" ht="15.75" customHeight="1">
      <c r="C567" s="73"/>
    </row>
    <row r="568" ht="15.75" customHeight="1">
      <c r="C568" s="73"/>
    </row>
    <row r="569" ht="15.75" customHeight="1">
      <c r="C569" s="73"/>
    </row>
    <row r="570" ht="15.75" customHeight="1">
      <c r="C570" s="73"/>
    </row>
    <row r="571" ht="15.75" customHeight="1">
      <c r="C571" s="73"/>
    </row>
    <row r="572" ht="15.75" customHeight="1">
      <c r="C572" s="73"/>
    </row>
    <row r="573" ht="15.75" customHeight="1">
      <c r="C573" s="73"/>
    </row>
    <row r="574" ht="15.75" customHeight="1">
      <c r="C574" s="73"/>
    </row>
    <row r="575" ht="15.75" customHeight="1">
      <c r="C575" s="73"/>
    </row>
    <row r="576" ht="15.75" customHeight="1">
      <c r="C576" s="73"/>
    </row>
    <row r="577" ht="15.75" customHeight="1">
      <c r="C577" s="73"/>
    </row>
    <row r="578" ht="15.75" customHeight="1">
      <c r="C578" s="73"/>
    </row>
    <row r="579" ht="15.75" customHeight="1">
      <c r="C579" s="73"/>
    </row>
    <row r="580" ht="15.75" customHeight="1">
      <c r="C580" s="73"/>
    </row>
    <row r="581" ht="15.75" customHeight="1">
      <c r="C581" s="73"/>
    </row>
    <row r="582" ht="15.75" customHeight="1">
      <c r="C582" s="73"/>
    </row>
    <row r="583" ht="15.75" customHeight="1">
      <c r="C583" s="73"/>
    </row>
    <row r="584" ht="15.75" customHeight="1">
      <c r="C584" s="73"/>
    </row>
    <row r="585" ht="15.75" customHeight="1">
      <c r="C585" s="73"/>
    </row>
    <row r="586" ht="15.75" customHeight="1">
      <c r="C586" s="73"/>
    </row>
    <row r="587" ht="15.75" customHeight="1">
      <c r="C587" s="73"/>
    </row>
    <row r="588" ht="15.75" customHeight="1">
      <c r="C588" s="73"/>
    </row>
    <row r="589" ht="15.75" customHeight="1">
      <c r="C589" s="73"/>
    </row>
    <row r="590" ht="15.75" customHeight="1">
      <c r="C590" s="73"/>
    </row>
    <row r="591" ht="15.75" customHeight="1">
      <c r="C591" s="73"/>
    </row>
    <row r="592" ht="15.75" customHeight="1">
      <c r="C592" s="73"/>
    </row>
    <row r="593" ht="15.75" customHeight="1">
      <c r="C593" s="73"/>
    </row>
    <row r="594" ht="15.75" customHeight="1">
      <c r="C594" s="73"/>
    </row>
    <row r="595" ht="15.75" customHeight="1">
      <c r="C595" s="73"/>
    </row>
    <row r="596" ht="15.75" customHeight="1">
      <c r="C596" s="73"/>
    </row>
    <row r="597" ht="15.75" customHeight="1">
      <c r="C597" s="73"/>
    </row>
    <row r="598" ht="15.75" customHeight="1">
      <c r="C598" s="73"/>
    </row>
    <row r="599" ht="15.75" customHeight="1">
      <c r="C599" s="73"/>
    </row>
    <row r="600" ht="15.75" customHeight="1">
      <c r="C600" s="73"/>
    </row>
    <row r="601" ht="15.75" customHeight="1">
      <c r="C601" s="73"/>
    </row>
    <row r="602" ht="15.75" customHeight="1">
      <c r="C602" s="73"/>
    </row>
    <row r="603" ht="15.75" customHeight="1">
      <c r="C603" s="73"/>
    </row>
    <row r="604" ht="15.75" customHeight="1">
      <c r="C604" s="73"/>
    </row>
    <row r="605" ht="15.75" customHeight="1">
      <c r="C605" s="73"/>
    </row>
    <row r="606" ht="15.75" customHeight="1">
      <c r="C606" s="73"/>
    </row>
    <row r="607" ht="15.75" customHeight="1">
      <c r="C607" s="73"/>
    </row>
    <row r="608" ht="15.75" customHeight="1">
      <c r="C608" s="73"/>
    </row>
    <row r="609" ht="15.75" customHeight="1">
      <c r="C609" s="73"/>
    </row>
    <row r="610" ht="15.75" customHeight="1">
      <c r="C610" s="73"/>
    </row>
    <row r="611" ht="15.75" customHeight="1">
      <c r="C611" s="73"/>
    </row>
    <row r="612" ht="15.75" customHeight="1">
      <c r="C612" s="73"/>
    </row>
    <row r="613" ht="15.75" customHeight="1">
      <c r="C613" s="73"/>
    </row>
    <row r="614" ht="15.75" customHeight="1">
      <c r="C614" s="73"/>
    </row>
    <row r="615" ht="15.75" customHeight="1">
      <c r="C615" s="73"/>
    </row>
    <row r="616" ht="15.75" customHeight="1">
      <c r="C616" s="73"/>
    </row>
    <row r="617" ht="15.75" customHeight="1">
      <c r="C617" s="73"/>
    </row>
    <row r="618" ht="15.75" customHeight="1">
      <c r="C618" s="73"/>
    </row>
    <row r="619" ht="15.75" customHeight="1">
      <c r="C619" s="73"/>
    </row>
    <row r="620" ht="15.75" customHeight="1">
      <c r="C620" s="73"/>
    </row>
    <row r="621" ht="15.75" customHeight="1">
      <c r="C621" s="73"/>
    </row>
    <row r="622" ht="15.75" customHeight="1">
      <c r="C622" s="73"/>
    </row>
    <row r="623" ht="15.75" customHeight="1">
      <c r="C623" s="73"/>
    </row>
    <row r="624" ht="15.75" customHeight="1">
      <c r="C624" s="73"/>
    </row>
    <row r="625" ht="15.75" customHeight="1">
      <c r="C625" s="73"/>
    </row>
    <row r="626" ht="15.75" customHeight="1">
      <c r="C626" s="73"/>
    </row>
    <row r="627" ht="15.75" customHeight="1">
      <c r="C627" s="73"/>
    </row>
    <row r="628" ht="15.75" customHeight="1">
      <c r="C628" s="73"/>
    </row>
    <row r="629" ht="15.75" customHeight="1">
      <c r="C629" s="73"/>
    </row>
    <row r="630" ht="15.75" customHeight="1">
      <c r="C630" s="73"/>
    </row>
    <row r="631" ht="15.75" customHeight="1">
      <c r="C631" s="73"/>
    </row>
    <row r="632" ht="15.75" customHeight="1">
      <c r="C632" s="73"/>
    </row>
    <row r="633" ht="15.75" customHeight="1">
      <c r="C633" s="73"/>
    </row>
    <row r="634" ht="15.75" customHeight="1">
      <c r="C634" s="73"/>
    </row>
    <row r="635" ht="15.75" customHeight="1">
      <c r="C635" s="73"/>
    </row>
    <row r="636" ht="15.75" customHeight="1">
      <c r="C636" s="73"/>
    </row>
    <row r="637" ht="15.75" customHeight="1">
      <c r="C637" s="73"/>
    </row>
    <row r="638" ht="15.75" customHeight="1">
      <c r="C638" s="73"/>
    </row>
    <row r="639" ht="15.75" customHeight="1">
      <c r="C639" s="73"/>
    </row>
    <row r="640" ht="15.75" customHeight="1">
      <c r="C640" s="73"/>
    </row>
    <row r="641" ht="15.75" customHeight="1">
      <c r="C641" s="73"/>
    </row>
    <row r="642" ht="15.75" customHeight="1">
      <c r="C642" s="73"/>
    </row>
    <row r="643" ht="15.75" customHeight="1">
      <c r="C643" s="73"/>
    </row>
    <row r="644" ht="15.75" customHeight="1">
      <c r="C644" s="73"/>
    </row>
    <row r="645" ht="15.75" customHeight="1">
      <c r="C645" s="73"/>
    </row>
    <row r="646" ht="15.75" customHeight="1">
      <c r="C646" s="73"/>
    </row>
    <row r="647" ht="15.75" customHeight="1">
      <c r="C647" s="73"/>
    </row>
    <row r="648" ht="15.75" customHeight="1">
      <c r="C648" s="73"/>
    </row>
    <row r="649" ht="15.75" customHeight="1">
      <c r="C649" s="73"/>
    </row>
    <row r="650" ht="15.75" customHeight="1">
      <c r="C650" s="73"/>
    </row>
    <row r="651" ht="15.75" customHeight="1">
      <c r="C651" s="73"/>
    </row>
    <row r="652" ht="15.75" customHeight="1">
      <c r="C652" s="73"/>
    </row>
    <row r="653" ht="15.75" customHeight="1">
      <c r="C653" s="73"/>
    </row>
    <row r="654" ht="15.75" customHeight="1">
      <c r="C654" s="73"/>
    </row>
    <row r="655" ht="15.75" customHeight="1">
      <c r="C655" s="73"/>
    </row>
    <row r="656" ht="15.75" customHeight="1">
      <c r="C656" s="73"/>
    </row>
    <row r="657" ht="15.75" customHeight="1">
      <c r="C657" s="73"/>
    </row>
    <row r="658" ht="15.75" customHeight="1">
      <c r="C658" s="73"/>
    </row>
    <row r="659" ht="15.75" customHeight="1">
      <c r="C659" s="73"/>
    </row>
    <row r="660" ht="15.75" customHeight="1">
      <c r="C660" s="73"/>
    </row>
    <row r="661" ht="15.75" customHeight="1">
      <c r="C661" s="73"/>
    </row>
    <row r="662" ht="15.75" customHeight="1">
      <c r="C662" s="73"/>
    </row>
    <row r="663" ht="15.75" customHeight="1">
      <c r="C663" s="73"/>
    </row>
    <row r="664" ht="15.75" customHeight="1">
      <c r="C664" s="73"/>
    </row>
    <row r="665" ht="15.75" customHeight="1">
      <c r="C665" s="73"/>
    </row>
    <row r="666" ht="15.75" customHeight="1">
      <c r="C666" s="73"/>
    </row>
    <row r="667" ht="15.75" customHeight="1">
      <c r="C667" s="73"/>
    </row>
    <row r="668" ht="15.75" customHeight="1">
      <c r="C668" s="73"/>
    </row>
    <row r="669" ht="15.75" customHeight="1">
      <c r="C669" s="73"/>
    </row>
    <row r="670" ht="15.75" customHeight="1">
      <c r="C670" s="73"/>
    </row>
    <row r="671" ht="15.75" customHeight="1">
      <c r="C671" s="73"/>
    </row>
    <row r="672" ht="15.75" customHeight="1">
      <c r="C672" s="73"/>
    </row>
    <row r="673" ht="15.75" customHeight="1">
      <c r="C673" s="73"/>
    </row>
    <row r="674" ht="15.75" customHeight="1">
      <c r="C674" s="73"/>
    </row>
    <row r="675" ht="15.75" customHeight="1">
      <c r="C675" s="73"/>
    </row>
    <row r="676" ht="15.75" customHeight="1">
      <c r="C676" s="73"/>
    </row>
    <row r="677" ht="15.75" customHeight="1">
      <c r="C677" s="73"/>
    </row>
    <row r="678" ht="15.75" customHeight="1">
      <c r="C678" s="73"/>
    </row>
    <row r="679" ht="15.75" customHeight="1">
      <c r="C679" s="73"/>
    </row>
    <row r="680" ht="15.75" customHeight="1">
      <c r="C680" s="73"/>
    </row>
    <row r="681" ht="15.75" customHeight="1">
      <c r="C681" s="73"/>
    </row>
    <row r="682" ht="15.75" customHeight="1">
      <c r="C682" s="73"/>
    </row>
    <row r="683" ht="15.75" customHeight="1">
      <c r="C683" s="73"/>
    </row>
    <row r="684" ht="15.75" customHeight="1">
      <c r="C684" s="73"/>
    </row>
    <row r="685" ht="15.75" customHeight="1">
      <c r="C685" s="73"/>
    </row>
    <row r="686" ht="15.75" customHeight="1">
      <c r="C686" s="73"/>
    </row>
    <row r="687" ht="15.75" customHeight="1">
      <c r="C687" s="73"/>
    </row>
    <row r="688" ht="15.75" customHeight="1">
      <c r="C688" s="73"/>
    </row>
    <row r="689" ht="15.75" customHeight="1">
      <c r="C689" s="73"/>
    </row>
    <row r="690" ht="15.75" customHeight="1">
      <c r="C690" s="73"/>
    </row>
    <row r="691" ht="15.75" customHeight="1">
      <c r="C691" s="73"/>
    </row>
    <row r="692" ht="15.75" customHeight="1">
      <c r="C692" s="73"/>
    </row>
    <row r="693" ht="15.75" customHeight="1">
      <c r="C693" s="73"/>
    </row>
    <row r="694" ht="15.75" customHeight="1">
      <c r="C694" s="73"/>
    </row>
    <row r="695" ht="15.75" customHeight="1">
      <c r="C695" s="73"/>
    </row>
    <row r="696" ht="15.75" customHeight="1">
      <c r="C696" s="73"/>
    </row>
    <row r="697" ht="15.75" customHeight="1">
      <c r="C697" s="73"/>
    </row>
    <row r="698" ht="15.75" customHeight="1">
      <c r="C698" s="73"/>
    </row>
    <row r="699" ht="15.75" customHeight="1">
      <c r="C699" s="73"/>
    </row>
    <row r="700" ht="15.75" customHeight="1">
      <c r="C700" s="73"/>
    </row>
    <row r="701" ht="15.75" customHeight="1">
      <c r="C701" s="73"/>
    </row>
    <row r="702" ht="15.75" customHeight="1">
      <c r="C702" s="73"/>
    </row>
    <row r="703" ht="15.75" customHeight="1">
      <c r="C703" s="73"/>
    </row>
    <row r="704" ht="15.75" customHeight="1">
      <c r="C704" s="73"/>
    </row>
    <row r="705" ht="15.75" customHeight="1">
      <c r="C705" s="73"/>
    </row>
    <row r="706" ht="15.75" customHeight="1">
      <c r="C706" s="73"/>
    </row>
    <row r="707" ht="15.75" customHeight="1">
      <c r="C707" s="73"/>
    </row>
    <row r="708" ht="15.75" customHeight="1">
      <c r="C708" s="73"/>
    </row>
    <row r="709" ht="15.75" customHeight="1">
      <c r="C709" s="73"/>
    </row>
    <row r="710" ht="15.75" customHeight="1">
      <c r="C710" s="73"/>
    </row>
    <row r="711" ht="15.75" customHeight="1">
      <c r="C711" s="73"/>
    </row>
    <row r="712" ht="15.75" customHeight="1">
      <c r="C712" s="73"/>
    </row>
    <row r="713" ht="15.75" customHeight="1">
      <c r="C713" s="73"/>
    </row>
    <row r="714" ht="15.75" customHeight="1">
      <c r="C714" s="73"/>
    </row>
    <row r="715" ht="15.75" customHeight="1">
      <c r="C715" s="73"/>
    </row>
    <row r="716" ht="15.75" customHeight="1">
      <c r="C716" s="73"/>
    </row>
    <row r="717" ht="15.75" customHeight="1">
      <c r="C717" s="73"/>
    </row>
    <row r="718" ht="15.75" customHeight="1">
      <c r="C718" s="73"/>
    </row>
    <row r="719" ht="15.75" customHeight="1">
      <c r="C719" s="73"/>
    </row>
    <row r="720" ht="15.75" customHeight="1">
      <c r="C720" s="73"/>
    </row>
    <row r="721" ht="15.75" customHeight="1">
      <c r="C721" s="73"/>
    </row>
    <row r="722" ht="15.75" customHeight="1">
      <c r="C722" s="73"/>
    </row>
    <row r="723" ht="15.75" customHeight="1">
      <c r="C723" s="73"/>
    </row>
    <row r="724" ht="15.75" customHeight="1">
      <c r="C724" s="73"/>
    </row>
    <row r="725" ht="15.75" customHeight="1">
      <c r="C725" s="73"/>
    </row>
    <row r="726" ht="15.75" customHeight="1">
      <c r="C726" s="73"/>
    </row>
    <row r="727" ht="15.75" customHeight="1">
      <c r="C727" s="73"/>
    </row>
    <row r="728" ht="15.75" customHeight="1">
      <c r="C728" s="73"/>
    </row>
    <row r="729" ht="15.75" customHeight="1">
      <c r="C729" s="73"/>
    </row>
    <row r="730" ht="15.75" customHeight="1">
      <c r="C730" s="73"/>
    </row>
    <row r="731" ht="15.75" customHeight="1">
      <c r="C731" s="73"/>
    </row>
    <row r="732" ht="15.75" customHeight="1">
      <c r="C732" s="73"/>
    </row>
    <row r="733" ht="15.75" customHeight="1">
      <c r="C733" s="73"/>
    </row>
    <row r="734" ht="15.75" customHeight="1">
      <c r="C734" s="73"/>
    </row>
    <row r="735" ht="15.75" customHeight="1">
      <c r="C735" s="73"/>
    </row>
    <row r="736" ht="15.75" customHeight="1">
      <c r="C736" s="73"/>
    </row>
    <row r="737" ht="15.75" customHeight="1">
      <c r="C737" s="73"/>
    </row>
    <row r="738" ht="15.75" customHeight="1">
      <c r="C738" s="73"/>
    </row>
    <row r="739" ht="15.75" customHeight="1">
      <c r="C739" s="73"/>
    </row>
    <row r="740" ht="15.75" customHeight="1">
      <c r="C740" s="73"/>
    </row>
    <row r="741" ht="15.75" customHeight="1">
      <c r="C741" s="73"/>
    </row>
    <row r="742" ht="15.75" customHeight="1">
      <c r="C742" s="73"/>
    </row>
    <row r="743" ht="15.75" customHeight="1">
      <c r="C743" s="73"/>
    </row>
    <row r="744" ht="15.75" customHeight="1">
      <c r="C744" s="73"/>
    </row>
    <row r="745" ht="15.75" customHeight="1">
      <c r="C745" s="73"/>
    </row>
    <row r="746" ht="15.75" customHeight="1">
      <c r="C746" s="73"/>
    </row>
    <row r="747" ht="15.75" customHeight="1">
      <c r="C747" s="73"/>
    </row>
    <row r="748" ht="15.75" customHeight="1">
      <c r="C748" s="73"/>
    </row>
    <row r="749" ht="15.75" customHeight="1">
      <c r="C749" s="73"/>
    </row>
    <row r="750" ht="15.75" customHeight="1">
      <c r="C750" s="73"/>
    </row>
    <row r="751" ht="15.75" customHeight="1">
      <c r="C751" s="73"/>
    </row>
    <row r="752" ht="15.75" customHeight="1">
      <c r="C752" s="73"/>
    </row>
    <row r="753" ht="15.75" customHeight="1">
      <c r="C753" s="73"/>
    </row>
    <row r="754" ht="15.75" customHeight="1">
      <c r="C754" s="73"/>
    </row>
    <row r="755" ht="15.75" customHeight="1">
      <c r="C755" s="73"/>
    </row>
    <row r="756" ht="15.75" customHeight="1">
      <c r="C756" s="73"/>
    </row>
    <row r="757" ht="15.75" customHeight="1">
      <c r="C757" s="73"/>
    </row>
    <row r="758" ht="15.75" customHeight="1">
      <c r="C758" s="73"/>
    </row>
    <row r="759" ht="15.75" customHeight="1">
      <c r="C759" s="73"/>
    </row>
    <row r="760" ht="15.75" customHeight="1">
      <c r="C760" s="73"/>
    </row>
    <row r="761" ht="15.75" customHeight="1">
      <c r="C761" s="73"/>
    </row>
    <row r="762" ht="15.75" customHeight="1">
      <c r="C762" s="73"/>
    </row>
    <row r="763" ht="15.75" customHeight="1">
      <c r="C763" s="73"/>
    </row>
    <row r="764" ht="15.75" customHeight="1">
      <c r="C764" s="73"/>
    </row>
    <row r="765" ht="15.75" customHeight="1">
      <c r="C765" s="73"/>
    </row>
    <row r="766" ht="15.75" customHeight="1">
      <c r="C766" s="73"/>
    </row>
    <row r="767" ht="15.75" customHeight="1">
      <c r="C767" s="73"/>
    </row>
    <row r="768" ht="15.75" customHeight="1">
      <c r="C768" s="73"/>
    </row>
    <row r="769" ht="15.75" customHeight="1">
      <c r="C769" s="73"/>
    </row>
    <row r="770" ht="15.75" customHeight="1">
      <c r="C770" s="73"/>
    </row>
    <row r="771" ht="15.75" customHeight="1">
      <c r="C771" s="73"/>
    </row>
    <row r="772" ht="15.75" customHeight="1">
      <c r="C772" s="73"/>
    </row>
    <row r="773" ht="15.75" customHeight="1">
      <c r="C773" s="73"/>
    </row>
    <row r="774" ht="15.75" customHeight="1">
      <c r="C774" s="73"/>
    </row>
    <row r="775" ht="15.75" customHeight="1">
      <c r="C775" s="73"/>
    </row>
    <row r="776" ht="15.75" customHeight="1">
      <c r="C776" s="73"/>
    </row>
    <row r="777" ht="15.75" customHeight="1">
      <c r="C777" s="73"/>
    </row>
    <row r="778" ht="15.75" customHeight="1">
      <c r="C778" s="73"/>
    </row>
    <row r="779" ht="15.75" customHeight="1">
      <c r="C779" s="73"/>
    </row>
    <row r="780" ht="15.75" customHeight="1">
      <c r="C780" s="73"/>
    </row>
    <row r="781" ht="15.75" customHeight="1">
      <c r="C781" s="73"/>
    </row>
    <row r="782" ht="15.75" customHeight="1">
      <c r="C782" s="73"/>
    </row>
    <row r="783" ht="15.75" customHeight="1">
      <c r="C783" s="73"/>
    </row>
    <row r="784" ht="15.75" customHeight="1">
      <c r="C784" s="73"/>
    </row>
    <row r="785" ht="15.75" customHeight="1">
      <c r="C785" s="73"/>
    </row>
    <row r="786" ht="15.75" customHeight="1">
      <c r="C786" s="73"/>
    </row>
    <row r="787" ht="15.75" customHeight="1">
      <c r="C787" s="73"/>
    </row>
    <row r="788" ht="15.75" customHeight="1">
      <c r="C788" s="73"/>
    </row>
    <row r="789" ht="15.75" customHeight="1">
      <c r="C789" s="73"/>
    </row>
    <row r="790" ht="15.75" customHeight="1">
      <c r="C790" s="73"/>
    </row>
    <row r="791" ht="15.75" customHeight="1">
      <c r="C791" s="73"/>
    </row>
    <row r="792" ht="15.75" customHeight="1">
      <c r="C792" s="73"/>
    </row>
    <row r="793" ht="15.75" customHeight="1">
      <c r="C793" s="73"/>
    </row>
    <row r="794" ht="15.75" customHeight="1">
      <c r="C794" s="73"/>
    </row>
    <row r="795" ht="15.75" customHeight="1">
      <c r="C795" s="73"/>
    </row>
    <row r="796" ht="15.75" customHeight="1">
      <c r="C796" s="73"/>
    </row>
    <row r="797" ht="15.75" customHeight="1">
      <c r="C797" s="73"/>
    </row>
    <row r="798" ht="15.75" customHeight="1">
      <c r="C798" s="73"/>
    </row>
    <row r="799" ht="15.75" customHeight="1">
      <c r="C799" s="73"/>
    </row>
    <row r="800" ht="15.75" customHeight="1">
      <c r="C800" s="73"/>
    </row>
    <row r="801" ht="15.75" customHeight="1">
      <c r="C801" s="73"/>
    </row>
    <row r="802" ht="15.75" customHeight="1">
      <c r="C802" s="73"/>
    </row>
    <row r="803" ht="15.75" customHeight="1">
      <c r="C803" s="73"/>
    </row>
    <row r="804" ht="15.75" customHeight="1">
      <c r="C804" s="73"/>
    </row>
    <row r="805" ht="15.75" customHeight="1">
      <c r="C805" s="73"/>
    </row>
    <row r="806" ht="15.75" customHeight="1">
      <c r="C806" s="73"/>
    </row>
    <row r="807" ht="15.75" customHeight="1">
      <c r="C807" s="73"/>
    </row>
    <row r="808" ht="15.75" customHeight="1">
      <c r="C808" s="73"/>
    </row>
    <row r="809" ht="15.75" customHeight="1">
      <c r="C809" s="73"/>
    </row>
    <row r="810" ht="15.75" customHeight="1">
      <c r="C810" s="73"/>
    </row>
    <row r="811" ht="15.75" customHeight="1">
      <c r="C811" s="73"/>
    </row>
    <row r="812" ht="15.75" customHeight="1">
      <c r="C812" s="73"/>
    </row>
    <row r="813" ht="15.75" customHeight="1">
      <c r="C813" s="73"/>
    </row>
    <row r="814" ht="15.75" customHeight="1">
      <c r="C814" s="73"/>
    </row>
    <row r="815" ht="15.75" customHeight="1">
      <c r="C815" s="73"/>
    </row>
    <row r="816" ht="15.75" customHeight="1">
      <c r="C816" s="73"/>
    </row>
    <row r="817" ht="15.75" customHeight="1">
      <c r="C817" s="73"/>
    </row>
    <row r="818" ht="15.75" customHeight="1">
      <c r="C818" s="73"/>
    </row>
    <row r="819" ht="15.75" customHeight="1">
      <c r="C819" s="73"/>
    </row>
    <row r="820" ht="15.75" customHeight="1">
      <c r="C820" s="73"/>
    </row>
    <row r="821" ht="15.75" customHeight="1">
      <c r="C821" s="73"/>
    </row>
    <row r="822" ht="15.75" customHeight="1">
      <c r="C822" s="73"/>
    </row>
    <row r="823" ht="15.75" customHeight="1">
      <c r="C823" s="73"/>
    </row>
    <row r="824" ht="15.75" customHeight="1">
      <c r="C824" s="73"/>
    </row>
    <row r="825" ht="15.75" customHeight="1">
      <c r="C825" s="73"/>
    </row>
    <row r="826" ht="15.75" customHeight="1">
      <c r="C826" s="73"/>
    </row>
    <row r="827" ht="15.75" customHeight="1">
      <c r="C827" s="73"/>
    </row>
    <row r="828" ht="15.75" customHeight="1">
      <c r="C828" s="73"/>
    </row>
    <row r="829" ht="15.75" customHeight="1">
      <c r="C829" s="73"/>
    </row>
    <row r="830" ht="15.75" customHeight="1">
      <c r="C830" s="73"/>
    </row>
    <row r="831" ht="15.75" customHeight="1">
      <c r="C831" s="73"/>
    </row>
    <row r="832" ht="15.75" customHeight="1">
      <c r="C832" s="73"/>
    </row>
    <row r="833" ht="15.75" customHeight="1">
      <c r="C833" s="73"/>
    </row>
    <row r="834" ht="15.75" customHeight="1">
      <c r="C834" s="73"/>
    </row>
    <row r="835" ht="15.75" customHeight="1">
      <c r="C835" s="73"/>
    </row>
    <row r="836" ht="15.75" customHeight="1">
      <c r="C836" s="73"/>
    </row>
    <row r="837" ht="15.75" customHeight="1">
      <c r="C837" s="73"/>
    </row>
    <row r="838" ht="15.75" customHeight="1">
      <c r="C838" s="73"/>
    </row>
    <row r="839" ht="15.75" customHeight="1">
      <c r="C839" s="73"/>
    </row>
    <row r="840" ht="15.75" customHeight="1">
      <c r="C840" s="73"/>
    </row>
    <row r="841" ht="15.75" customHeight="1">
      <c r="C841" s="73"/>
    </row>
    <row r="842" ht="15.75" customHeight="1">
      <c r="C842" s="73"/>
    </row>
    <row r="843" ht="15.75" customHeight="1">
      <c r="C843" s="73"/>
    </row>
    <row r="844" ht="15.75" customHeight="1">
      <c r="C844" s="73"/>
    </row>
    <row r="845" ht="15.75" customHeight="1">
      <c r="C845" s="73"/>
    </row>
    <row r="846" ht="15.75" customHeight="1">
      <c r="C846" s="73"/>
    </row>
    <row r="847" ht="15.75" customHeight="1">
      <c r="C847" s="73"/>
    </row>
    <row r="848" ht="15.75" customHeight="1">
      <c r="C848" s="73"/>
    </row>
    <row r="849" ht="15.75" customHeight="1">
      <c r="C849" s="73"/>
    </row>
    <row r="850" ht="15.75" customHeight="1">
      <c r="C850" s="73"/>
    </row>
    <row r="851" ht="15.75" customHeight="1">
      <c r="C851" s="73"/>
    </row>
    <row r="852" ht="15.75" customHeight="1">
      <c r="C852" s="73"/>
    </row>
    <row r="853" ht="15.75" customHeight="1">
      <c r="C853" s="73"/>
    </row>
    <row r="854" ht="15.75" customHeight="1">
      <c r="C854" s="73"/>
    </row>
    <row r="855" ht="15.75" customHeight="1">
      <c r="C855" s="73"/>
    </row>
    <row r="856" ht="15.75" customHeight="1">
      <c r="C856" s="73"/>
    </row>
    <row r="857" ht="15.75" customHeight="1">
      <c r="C857" s="73"/>
    </row>
    <row r="858" ht="15.75" customHeight="1">
      <c r="C858" s="73"/>
    </row>
    <row r="859" ht="15.75" customHeight="1">
      <c r="C859" s="73"/>
    </row>
    <row r="860" ht="15.75" customHeight="1">
      <c r="C860" s="73"/>
    </row>
    <row r="861" ht="15.75" customHeight="1">
      <c r="C861" s="73"/>
    </row>
    <row r="862" ht="15.75" customHeight="1">
      <c r="C862" s="73"/>
    </row>
    <row r="863" ht="15.75" customHeight="1">
      <c r="C863" s="73"/>
    </row>
    <row r="864" ht="15.75" customHeight="1">
      <c r="C864" s="73"/>
    </row>
    <row r="865" ht="15.75" customHeight="1">
      <c r="C865" s="73"/>
    </row>
    <row r="866" ht="15.75" customHeight="1">
      <c r="C866" s="73"/>
    </row>
    <row r="867" ht="15.75" customHeight="1">
      <c r="C867" s="73"/>
    </row>
    <row r="868" ht="15.75" customHeight="1">
      <c r="C868" s="73"/>
    </row>
    <row r="869" ht="15.75" customHeight="1">
      <c r="C869" s="73"/>
    </row>
    <row r="870" ht="15.75" customHeight="1">
      <c r="C870" s="73"/>
    </row>
    <row r="871" ht="15.75" customHeight="1">
      <c r="C871" s="73"/>
    </row>
    <row r="872" ht="15.75" customHeight="1">
      <c r="C872" s="73"/>
    </row>
    <row r="873" ht="15.75" customHeight="1">
      <c r="C873" s="73"/>
    </row>
    <row r="874" ht="15.75" customHeight="1">
      <c r="C874" s="73"/>
    </row>
    <row r="875" ht="15.75" customHeight="1">
      <c r="C875" s="73"/>
    </row>
    <row r="876" ht="15.75" customHeight="1">
      <c r="C876" s="73"/>
    </row>
    <row r="877" ht="15.75" customHeight="1">
      <c r="C877" s="73"/>
    </row>
    <row r="878" ht="15.75" customHeight="1">
      <c r="C878" s="73"/>
    </row>
    <row r="879" ht="15.75" customHeight="1">
      <c r="C879" s="73"/>
    </row>
    <row r="880" ht="15.75" customHeight="1">
      <c r="C880" s="73"/>
    </row>
    <row r="881" ht="15.75" customHeight="1">
      <c r="C881" s="73"/>
    </row>
    <row r="882" ht="15.75" customHeight="1">
      <c r="C882" s="73"/>
    </row>
    <row r="883" ht="15.75" customHeight="1">
      <c r="C883" s="73"/>
    </row>
    <row r="884" ht="15.75" customHeight="1">
      <c r="C884" s="73"/>
    </row>
    <row r="885" ht="15.75" customHeight="1">
      <c r="C885" s="73"/>
    </row>
    <row r="886" ht="15.75" customHeight="1">
      <c r="C886" s="73"/>
    </row>
    <row r="887" ht="15.75" customHeight="1">
      <c r="C887" s="73"/>
    </row>
    <row r="888" ht="15.75" customHeight="1">
      <c r="C888" s="73"/>
    </row>
    <row r="889" ht="15.75" customHeight="1">
      <c r="C889" s="73"/>
    </row>
    <row r="890" ht="15.75" customHeight="1">
      <c r="C890" s="73"/>
    </row>
    <row r="891" ht="15.75" customHeight="1">
      <c r="C891" s="73"/>
    </row>
    <row r="892" ht="15.75" customHeight="1">
      <c r="C892" s="73"/>
    </row>
    <row r="893" ht="15.75" customHeight="1">
      <c r="C893" s="73"/>
    </row>
    <row r="894" ht="15.75" customHeight="1">
      <c r="C894" s="73"/>
    </row>
    <row r="895" ht="15.75" customHeight="1">
      <c r="C895" s="73"/>
    </row>
    <row r="896" ht="15.75" customHeight="1">
      <c r="C896" s="73"/>
    </row>
    <row r="897" ht="15.75" customHeight="1">
      <c r="C897" s="73"/>
    </row>
    <row r="898" ht="15.75" customHeight="1">
      <c r="C898" s="73"/>
    </row>
    <row r="899" ht="15.75" customHeight="1">
      <c r="C899" s="73"/>
    </row>
    <row r="900" ht="15.75" customHeight="1">
      <c r="C900" s="73"/>
    </row>
    <row r="901" ht="15.75" customHeight="1">
      <c r="C901" s="73"/>
    </row>
    <row r="902" ht="15.75" customHeight="1">
      <c r="C902" s="73"/>
    </row>
    <row r="903" ht="15.75" customHeight="1">
      <c r="C903" s="73"/>
    </row>
    <row r="904" ht="15.75" customHeight="1">
      <c r="C904" s="73"/>
    </row>
    <row r="905" ht="15.75" customHeight="1">
      <c r="C905" s="73"/>
    </row>
    <row r="906" ht="15.75" customHeight="1">
      <c r="C906" s="73"/>
    </row>
    <row r="907" ht="15.75" customHeight="1">
      <c r="C907" s="73"/>
    </row>
    <row r="908" ht="15.75" customHeight="1">
      <c r="C908" s="73"/>
    </row>
    <row r="909" ht="15.75" customHeight="1">
      <c r="C909" s="73"/>
    </row>
    <row r="910" ht="15.75" customHeight="1">
      <c r="C910" s="73"/>
    </row>
    <row r="911" ht="15.75" customHeight="1">
      <c r="C911" s="73"/>
    </row>
    <row r="912" ht="15.75" customHeight="1">
      <c r="C912" s="73"/>
    </row>
    <row r="913" ht="15.75" customHeight="1">
      <c r="C913" s="73"/>
    </row>
    <row r="914" ht="15.75" customHeight="1">
      <c r="C914" s="73"/>
    </row>
    <row r="915" ht="15.75" customHeight="1">
      <c r="C915" s="73"/>
    </row>
    <row r="916" ht="15.75" customHeight="1">
      <c r="C916" s="73"/>
    </row>
    <row r="917" ht="15.75" customHeight="1">
      <c r="C917" s="73"/>
    </row>
    <row r="918" ht="15.75" customHeight="1">
      <c r="C918" s="73"/>
    </row>
    <row r="919" ht="15.75" customHeight="1">
      <c r="C919" s="73"/>
    </row>
    <row r="920" ht="15.75" customHeight="1">
      <c r="C920" s="73"/>
    </row>
    <row r="921" ht="15.75" customHeight="1">
      <c r="C921" s="73"/>
    </row>
    <row r="922" ht="15.75" customHeight="1">
      <c r="C922" s="73"/>
    </row>
    <row r="923" ht="15.75" customHeight="1">
      <c r="C923" s="73"/>
    </row>
    <row r="924" ht="15.75" customHeight="1">
      <c r="C924" s="73"/>
    </row>
    <row r="925" ht="15.75" customHeight="1">
      <c r="C925" s="73"/>
    </row>
    <row r="926" ht="15.75" customHeight="1">
      <c r="C926" s="73"/>
    </row>
    <row r="927" ht="15.75" customHeight="1">
      <c r="C927" s="73"/>
    </row>
    <row r="928" ht="15.75" customHeight="1">
      <c r="C928" s="73"/>
    </row>
    <row r="929" ht="15.75" customHeight="1">
      <c r="C929" s="73"/>
    </row>
    <row r="930" ht="15.75" customHeight="1">
      <c r="C930" s="73"/>
    </row>
    <row r="931" ht="15.75" customHeight="1">
      <c r="C931" s="73"/>
    </row>
    <row r="932" ht="15.75" customHeight="1">
      <c r="C932" s="73"/>
    </row>
    <row r="933" ht="15.75" customHeight="1">
      <c r="C933" s="73"/>
    </row>
    <row r="934" ht="15.75" customHeight="1">
      <c r="C934" s="73"/>
    </row>
    <row r="935" ht="15.75" customHeight="1">
      <c r="C935" s="73"/>
    </row>
    <row r="936" ht="15.75" customHeight="1">
      <c r="C936" s="73"/>
    </row>
    <row r="937" ht="15.75" customHeight="1">
      <c r="C937" s="73"/>
    </row>
    <row r="938" ht="15.75" customHeight="1">
      <c r="C938" s="73"/>
    </row>
    <row r="939" ht="15.75" customHeight="1">
      <c r="C939" s="73"/>
    </row>
    <row r="940" ht="15.75" customHeight="1">
      <c r="C940" s="73"/>
    </row>
    <row r="941" ht="15.75" customHeight="1">
      <c r="C941" s="73"/>
    </row>
    <row r="942" ht="15.75" customHeight="1">
      <c r="C942" s="73"/>
    </row>
    <row r="943" ht="15.75" customHeight="1">
      <c r="C943" s="73"/>
    </row>
    <row r="944" ht="15.75" customHeight="1">
      <c r="C944" s="73"/>
    </row>
    <row r="945" ht="15.75" customHeight="1">
      <c r="C945" s="73"/>
    </row>
    <row r="946" ht="15.75" customHeight="1">
      <c r="C946" s="73"/>
    </row>
    <row r="947" ht="15.75" customHeight="1">
      <c r="C947" s="73"/>
    </row>
    <row r="948" ht="15.75" customHeight="1">
      <c r="C948" s="73"/>
    </row>
    <row r="949" ht="15.75" customHeight="1">
      <c r="C949" s="73"/>
    </row>
    <row r="950" ht="15.75" customHeight="1">
      <c r="C950" s="73"/>
    </row>
    <row r="951" ht="15.75" customHeight="1">
      <c r="C951" s="73"/>
    </row>
    <row r="952" ht="15.75" customHeight="1">
      <c r="C952" s="73"/>
    </row>
    <row r="953" ht="15.75" customHeight="1">
      <c r="C953" s="73"/>
    </row>
    <row r="954" ht="15.75" customHeight="1">
      <c r="C954" s="73"/>
    </row>
    <row r="955" ht="15.75" customHeight="1">
      <c r="C955" s="73"/>
    </row>
    <row r="956" ht="15.75" customHeight="1">
      <c r="C956" s="73"/>
    </row>
    <row r="957" ht="15.75" customHeight="1">
      <c r="C957" s="73"/>
    </row>
    <row r="958" ht="15.75" customHeight="1">
      <c r="C958" s="73"/>
    </row>
    <row r="959" ht="15.75" customHeight="1">
      <c r="C959" s="73"/>
    </row>
    <row r="960" ht="15.75" customHeight="1">
      <c r="C960" s="73"/>
    </row>
    <row r="961" ht="15.75" customHeight="1">
      <c r="C961" s="73"/>
    </row>
    <row r="962" ht="15.75" customHeight="1">
      <c r="C962" s="73"/>
    </row>
    <row r="963" ht="15.75" customHeight="1">
      <c r="C963" s="73"/>
    </row>
    <row r="964" ht="15.75" customHeight="1">
      <c r="C964" s="73"/>
    </row>
    <row r="965" ht="15.75" customHeight="1">
      <c r="C965" s="73"/>
    </row>
    <row r="966" ht="15.75" customHeight="1">
      <c r="C966" s="73"/>
    </row>
    <row r="967" ht="15.75" customHeight="1">
      <c r="C967" s="73"/>
    </row>
    <row r="968" ht="15.75" customHeight="1">
      <c r="C968" s="73"/>
    </row>
    <row r="969" ht="15.75" customHeight="1">
      <c r="C969" s="73"/>
    </row>
    <row r="970" ht="15.75" customHeight="1">
      <c r="C970" s="73"/>
    </row>
    <row r="971" ht="15.75" customHeight="1">
      <c r="C971" s="73"/>
    </row>
    <row r="972" ht="15.75" customHeight="1">
      <c r="C972" s="73"/>
    </row>
    <row r="973" ht="15.75" customHeight="1">
      <c r="C973" s="73"/>
    </row>
    <row r="974" ht="15.75" customHeight="1">
      <c r="C974" s="73"/>
    </row>
    <row r="975" ht="15.75" customHeight="1">
      <c r="C975" s="73"/>
    </row>
    <row r="976" ht="15.75" customHeight="1">
      <c r="C976" s="73"/>
    </row>
    <row r="977" ht="15.75" customHeight="1">
      <c r="C977" s="73"/>
    </row>
    <row r="978" ht="15.75" customHeight="1">
      <c r="C978" s="73"/>
    </row>
    <row r="979" ht="15.75" customHeight="1">
      <c r="C979" s="73"/>
    </row>
    <row r="980" ht="15.75" customHeight="1">
      <c r="C980" s="73"/>
    </row>
    <row r="981" ht="15.75" customHeight="1">
      <c r="C981" s="73"/>
    </row>
    <row r="982" ht="15.75" customHeight="1">
      <c r="C982" s="73"/>
    </row>
    <row r="983" ht="15.75" customHeight="1">
      <c r="C983" s="73"/>
    </row>
    <row r="984" ht="15.75" customHeight="1">
      <c r="C984" s="73"/>
    </row>
    <row r="985" ht="15.75" customHeight="1">
      <c r="C985" s="73"/>
    </row>
    <row r="986" ht="15.75" customHeight="1">
      <c r="C986" s="73"/>
    </row>
    <row r="987" ht="15.75" customHeight="1">
      <c r="C987" s="73"/>
    </row>
    <row r="988" ht="15.75" customHeight="1">
      <c r="C988" s="73"/>
    </row>
    <row r="989" ht="15.75" customHeight="1">
      <c r="C989" s="73"/>
    </row>
    <row r="990" ht="15.75" customHeight="1">
      <c r="C990" s="73"/>
    </row>
    <row r="991" ht="15.75" customHeight="1">
      <c r="C991" s="73"/>
    </row>
    <row r="992" ht="15.75" customHeight="1">
      <c r="C992" s="73"/>
    </row>
    <row r="993" ht="15.75" customHeight="1">
      <c r="C993" s="73"/>
    </row>
    <row r="994" ht="15.75" customHeight="1">
      <c r="C994" s="73"/>
    </row>
    <row r="995" ht="15.75" customHeight="1">
      <c r="C995" s="73"/>
    </row>
    <row r="996" ht="15.75" customHeight="1">
      <c r="C996" s="73"/>
    </row>
    <row r="997" ht="15.75" customHeight="1">
      <c r="C997" s="73"/>
    </row>
    <row r="998" ht="15.75" customHeight="1">
      <c r="C998" s="73"/>
    </row>
    <row r="999" ht="15.75" customHeight="1">
      <c r="C999" s="73"/>
    </row>
    <row r="1000" ht="15.75" customHeight="1">
      <c r="C1000" s="73"/>
    </row>
  </sheetData>
  <mergeCells count="2">
    <mergeCell ref="B4:G4"/>
    <mergeCell ref="H4:K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9.86"/>
    <col customWidth="1" min="7" max="7" width="25.29"/>
    <col customWidth="1" min="8" max="8" width="8.71"/>
    <col customWidth="1" min="9" max="9" width="31.14"/>
    <col customWidth="1" min="10" max="10" width="26.43"/>
    <col customWidth="1" min="11" max="26" width="8.71"/>
  </cols>
  <sheetData>
    <row r="5">
      <c r="A5" s="124">
        <v>403010.0</v>
      </c>
      <c r="B5" s="124">
        <v>408030.0</v>
      </c>
      <c r="C5" s="124">
        <v>403020.0</v>
      </c>
      <c r="D5" s="124">
        <v>403030.0</v>
      </c>
      <c r="E5" s="124">
        <v>408040.0</v>
      </c>
      <c r="F5" s="124">
        <v>403050.0</v>
      </c>
      <c r="G5" s="124" t="s">
        <v>446</v>
      </c>
    </row>
    <row r="6">
      <c r="A6" s="45">
        <f>COUNTIF('JULHO  2026'!E11:E603,'0403010'!A13)+COUNTIF('JULHO  2026'!E605:E1029,'0403010'!A13)</f>
        <v>0</v>
      </c>
      <c r="B6" s="45">
        <f>COUNTIF('JULHO  2026'!E11:E603,'0408030'!A13)+COUNTIF('JULHO  2026'!E605:E1029,'0408030'!A13)</f>
        <v>0</v>
      </c>
      <c r="C6" s="45">
        <f>COUNTIF('JULHO  2026'!E11:E603,'0403020'!A13)+COUNTIF('JULHO  2026'!E605:E1029,'0403020'!A13)</f>
        <v>0</v>
      </c>
      <c r="D6" s="45">
        <f>COUNTIF('JULHO  2026'!E11:E603,'0403030'!A13)+COUNTIF('JULHO  2026'!E605:E1029,'0403030'!A13)</f>
        <v>0</v>
      </c>
      <c r="E6" s="45">
        <f>COUNTIF('JULHO  2026'!E11:E603,'0403040'!A13)+COUNTIF('JULHO  2026'!E605:E1029,'0403040'!A13)</f>
        <v>0</v>
      </c>
      <c r="F6" s="45">
        <f>COUNTIF('JULHO  2026'!E11:E603,'0403050'!A13)+COUNTIF('JULHO  2026'!E605:E1029,'0403050'!A13)</f>
        <v>0</v>
      </c>
      <c r="G6" s="45">
        <f>COUNTIF('JULHO  2026'!E11:E603,'outros codigos'!A13)+COUNTIF('JULHO  2026'!E605:E1029,'outros codigos'!A13)</f>
        <v>0</v>
      </c>
      <c r="J6" s="130" t="s">
        <v>452</v>
      </c>
    </row>
    <row r="7">
      <c r="A7" s="45">
        <f>COUNTIF('JULHO  2026'!E11:E603,'0403010'!A14)+COUNTIF('JULHO  2026'!E605:E1029,'0403010'!A14)</f>
        <v>0</v>
      </c>
      <c r="B7" s="45">
        <f>COUNTIF('JULHO  2026'!E11:E603,'0408030'!A14)+COUNTIF('JULHO  2026'!E605:E1029,'0408030'!A14)</f>
        <v>0</v>
      </c>
      <c r="C7" s="45">
        <f>COUNTIF('JULHO  2026'!E11:E603,'0403020'!A14)+COUNTIF('JULHO  2026'!E605:E1029,'0403020'!A14)</f>
        <v>0</v>
      </c>
      <c r="D7" s="45">
        <f>COUNTIF('JULHO  2026'!E11:E603,'0403030'!A14)+COUNTIF('JULHO  2026'!E605:E1029,'0403030'!A14)</f>
        <v>0</v>
      </c>
      <c r="E7" s="45">
        <f>COUNTIF('JULHO  2026'!E11:E603,'0403040'!A14)+COUNTIF('JULHO  2026'!E605:E1029,'0403040'!A14)</f>
        <v>0</v>
      </c>
      <c r="F7" s="45">
        <f>COUNTIF('JULHO  2026'!E11:E603,'0403050'!A14)+COUNTIF('JULHO  2026'!E605:E1029,'0403050'!A14)</f>
        <v>0</v>
      </c>
      <c r="G7" s="45">
        <f>COUNTIF('JULHO  2026'!E11:E603,'outros codigos'!A14)+COUNTIF('JULHO  2026'!E605:E1029,'outros codigos'!A14)</f>
        <v>0</v>
      </c>
      <c r="I7" s="135" t="s">
        <v>460</v>
      </c>
      <c r="J7" s="136">
        <f>'JULHO  2026'!G1034</f>
        <v>175954.42</v>
      </c>
    </row>
    <row r="8">
      <c r="A8" s="45">
        <f>COUNTIF('JULHO  2026'!E11:E603,'0403010'!A15)+COUNTIF('JULHO  2026'!E605:E1029,'0403010'!A15)</f>
        <v>0</v>
      </c>
      <c r="B8" s="45">
        <f>COUNTIF('JULHO  2026'!E11:E603,'0408030'!A15)+COUNTIF('JULHO  2026'!E605:E1029,'0408030'!A15)</f>
        <v>0</v>
      </c>
      <c r="C8" s="45">
        <f>COUNTIF('JULHO  2026'!E11:E603,'0403020'!A15)+COUNTIF('JULHO  2026'!E605:E1029,'0403020'!A15)</f>
        <v>0</v>
      </c>
      <c r="D8" s="45">
        <f>COUNTIF('JULHO  2026'!E11:E603,'0403030'!A15)+COUNTIF('JULHO  2026'!E605:E1029,'0403030'!A15)</f>
        <v>0</v>
      </c>
      <c r="E8" s="45">
        <f>COUNTIF('JULHO  2026'!E11:E603,'0403040'!A15)+COUNTIF('JULHO  2026'!E605:E1029,'0403040'!A15)</f>
        <v>0</v>
      </c>
      <c r="F8" s="45">
        <f>COUNTIF('JULHO  2026'!E11:E603,'0403050'!A15)+COUNTIF('JULHO  2026'!E605:E1029,'0403050'!A15)</f>
        <v>0</v>
      </c>
      <c r="G8" s="45">
        <f>COUNTIF('JULHO  2026'!E11:E603,'outros codigos'!A15)+COUNTIF('JULHO  2026'!E605:E1029,'outros codigos'!A15)</f>
        <v>0</v>
      </c>
      <c r="I8" s="135" t="s">
        <v>497</v>
      </c>
      <c r="J8" s="136">
        <f>J19</f>
        <v>0</v>
      </c>
    </row>
    <row r="9">
      <c r="A9" s="45">
        <f>COUNTIF('JULHO  2026'!E11:E603,'0403010'!A16)+COUNTIF('JULHO  2026'!E605:E1029,'0403010'!A16)</f>
        <v>0</v>
      </c>
      <c r="B9" s="45">
        <f>COUNTIF('JULHO  2026'!E11:E603,'0408030'!A16)+COUNTIF('JULHO  2026'!E605:E1029,'0408030'!A16)</f>
        <v>0</v>
      </c>
      <c r="C9" s="45">
        <f>COUNTIF('JULHO  2026'!E11:E603,'0403020'!A16)+COUNTIF('JULHO  2026'!E605:E1029,'0403020'!A16)</f>
        <v>0</v>
      </c>
      <c r="D9" s="45">
        <f>COUNTIF('JULHO  2026'!E11:E603,'0403030'!A16)+COUNTIF('JULHO  2026'!E605:E1029,'0403030'!A16)</f>
        <v>0</v>
      </c>
      <c r="E9" s="45">
        <f>COUNTIF('JULHO  2026'!E11:E603,'0403040'!A16)+COUNTIF('JULHO  2026'!E605:E1029,'0403040'!A16)</f>
        <v>0</v>
      </c>
      <c r="F9" s="45">
        <f>COUNTIF('JULHO  2026'!E11:E603,'0403050'!A16)+COUNTIF('JULHO  2026'!E605:E1029,'0403050'!A16)</f>
        <v>0</v>
      </c>
      <c r="G9" s="45">
        <f>COUNTIF('JULHO  2026'!E11:E603,'outros codigos'!A16)+COUNTIF('JULHO  2026'!E605:E1029,'outros codigos'!A16)</f>
        <v>0</v>
      </c>
      <c r="I9" s="135" t="s">
        <v>540</v>
      </c>
      <c r="J9" s="136">
        <f>'por medico'!C28</f>
        <v>0</v>
      </c>
    </row>
    <row r="10">
      <c r="A10" s="45">
        <f>COUNTIF('JULHO  2026'!E11:E603,'0403010'!A17)+COUNTIF('JULHO  2026'!E605:E1029,'0403010'!A17)</f>
        <v>0</v>
      </c>
      <c r="B10" s="45">
        <f>COUNTIF('JULHO  2026'!E11:E603,'0408030'!A17)+COUNTIF('JULHO  2026'!E605:E1029,'0408030'!A17)</f>
        <v>0</v>
      </c>
      <c r="C10" s="45">
        <f>COUNTIF('JULHO  2026'!E11:E603,'0403020'!A17)+COUNTIF('JULHO  2026'!E605:E1029,'0403020'!A17)</f>
        <v>0</v>
      </c>
      <c r="D10" s="45">
        <f>COUNTIF('JULHO  2026'!E11:E603,'0403030'!A17)+COUNTIF('JULHO  2026'!E605:E1029,'0403030'!A17)</f>
        <v>0</v>
      </c>
      <c r="E10" s="45">
        <f>COUNTIF('JULHO  2026'!E11:E603,'0403040'!A17)+COUNTIF('JULHO  2026'!E605:E1029,'0403040'!A17)</f>
        <v>0</v>
      </c>
      <c r="F10" s="45">
        <f>COUNTIF('JULHO  2026'!E11:E603,'0403050'!A17)+COUNTIF('JULHO  2026'!E605:E1029,'0403050'!A17)</f>
        <v>0</v>
      </c>
      <c r="G10" s="45">
        <f>COUNTIF('JULHO  2026'!E11:E603,'outros codigos'!A17)+COUNTIF('JULHO  2026'!E605:E1029,'outros codigos'!A17)</f>
        <v>0</v>
      </c>
      <c r="I10" s="135" t="s">
        <v>576</v>
      </c>
      <c r="J10" s="143">
        <f>'JULHO  2026'!E1032</f>
        <v>508</v>
      </c>
    </row>
    <row r="11">
      <c r="A11" s="45">
        <f>COUNTIF('JULHO  2026'!E11:E603,'0403010'!A18)+COUNTIF('JULHO  2026'!E605:E1029,'0403010'!A18)</f>
        <v>0</v>
      </c>
      <c r="B11" s="45">
        <f>COUNTIF('JULHO  2026'!E11:E603,'0408030'!A18)+COUNTIF('JULHO  2026'!E605:E1029,'0408030'!A18)</f>
        <v>0</v>
      </c>
      <c r="C11" s="45">
        <f>COUNTIF('JULHO  2026'!E11:E603,'0403020'!A18)+COUNTIF('JULHO  2026'!E605:E1029,'0403020'!A18)</f>
        <v>0</v>
      </c>
      <c r="D11" s="45">
        <f>COUNTIF('JULHO  2026'!E11:E603,'0403030'!A18)+COUNTIF('JULHO  2026'!E605:E1029,'0403030'!A18)</f>
        <v>0</v>
      </c>
      <c r="E11" s="45">
        <f>COUNTIF('JULHO  2026'!E11:E603,'0403040'!A18)+COUNTIF('JULHO  2026'!E605:E1029,'0403040'!A18)</f>
        <v>0</v>
      </c>
      <c r="F11" s="45">
        <f>COUNTIF('JULHO  2026'!E11:E603,'0403050'!A18)+COUNTIF('JULHO  2026'!E605:E1029,'0403050'!A18)</f>
        <v>0</v>
      </c>
      <c r="G11" s="45">
        <f>COUNTIF('JULHO  2026'!E11:E603,'outros codigos'!A18)+COUNTIF('JULHO  2026'!E605:E1029,'outros codigos'!A18)</f>
        <v>0</v>
      </c>
    </row>
    <row r="12">
      <c r="A12" s="45">
        <f>COUNTIF('JULHO  2026'!E11:E603,'0403010'!A19)+COUNTIF('JULHO  2026'!E605:E1029,'0403010'!A19)</f>
        <v>0</v>
      </c>
      <c r="B12" s="45">
        <f>COUNTIF('JULHO  2026'!E11:E603,'0408030'!A19)+COUNTIF('JULHO  2026'!E605:E1029,'0408030'!A19)</f>
        <v>0</v>
      </c>
      <c r="C12" s="45">
        <f>COUNTIF('JULHO  2026'!E11:E603,'0403020'!A19)+COUNTIF('JULHO  2026'!E605:E1029,'0403020'!A19)</f>
        <v>0</v>
      </c>
      <c r="D12" s="45">
        <f>COUNTIF('JULHO  2026'!E11:E603,'0403030'!A19)+COUNTIF('JULHO  2026'!E605:E1029,'0403030'!A19)</f>
        <v>0</v>
      </c>
      <c r="E12" s="45">
        <f>COUNTIF('JULHO  2026'!E11:E603,'0403040'!A19)+COUNTIF('JULHO  2026'!E605:E1029,'0403040'!A19)</f>
        <v>0</v>
      </c>
      <c r="F12" s="45">
        <f>COUNTIF('JULHO  2026'!E11:E603,'0403050'!A19)+COUNTIF('JULHO  2026'!E605:E1029,'0403050'!A19)</f>
        <v>0</v>
      </c>
      <c r="G12" s="45">
        <f>COUNTIF('JULHO  2026'!E11:E603,'outros codigos'!A19)+COUNTIF('JULHO  2026'!E605:E1029,'outros codigos'!A19)</f>
        <v>0</v>
      </c>
      <c r="J12" s="73">
        <f>'0403010'!E51</f>
        <v>0</v>
      </c>
      <c r="L12" s="130">
        <f>'0403010'!D51</f>
        <v>0</v>
      </c>
    </row>
    <row r="13">
      <c r="A13" s="45">
        <f>COUNTIF('JULHO  2026'!E11:E603,'0403010'!A20)+COUNTIF('JULHO  2026'!E605:E1029,'0403010'!A20)</f>
        <v>0</v>
      </c>
      <c r="B13" s="45">
        <f>COUNTIF('JULHO  2026'!E11:E603,'0408030'!A20)+COUNTIF('JULHO  2026'!E605:E1029,'0408030'!A20)</f>
        <v>0</v>
      </c>
      <c r="C13" s="45">
        <f>COUNTIF('JULHO  2026'!E11:E603,'0403020'!A20)+COUNTIF('JULHO  2026'!E605:E1029,'0403020'!A20)</f>
        <v>0</v>
      </c>
      <c r="D13" s="45">
        <f>COUNTIF('JULHO  2026'!E11:E603,'0403030'!A20)+COUNTIF('JULHO  2026'!E605:E1029,'0403030'!A20)</f>
        <v>0</v>
      </c>
      <c r="E13" s="45">
        <f>COUNTIF('JULHO  2026'!E11:E603,'0403040'!A20)+COUNTIF('JULHO  2026'!E605:E1029,'0403040'!A20)</f>
        <v>0</v>
      </c>
      <c r="F13" s="45">
        <f>COUNTIF('JULHO  2026'!E11:E603,'0403050'!A20)+COUNTIF('JULHO  2026'!E605:E1029,'0403050'!A20)</f>
        <v>0</v>
      </c>
      <c r="G13" s="45">
        <f>COUNTIF('JULHO  2026'!E11:E603,'outros codigos'!A20)+COUNTIF('JULHO  2026'!E605:E1029,'outros codigos'!A20)</f>
        <v>0</v>
      </c>
      <c r="J13" s="73">
        <f>'0408030'!E105</f>
        <v>0</v>
      </c>
      <c r="L13" s="130">
        <f>'0408030'!D105</f>
        <v>0</v>
      </c>
    </row>
    <row r="14">
      <c r="A14" s="45">
        <f>COUNTIF('JULHO  2026'!E11:E603,'0403010'!A21)+COUNTIF('JULHO  2026'!E605:E1029,'0403010'!A21)</f>
        <v>0</v>
      </c>
      <c r="B14" s="45">
        <f>COUNTIF('JULHO  2026'!E11:E603,'0408030'!A21)+COUNTIF('JULHO  2026'!E605:E1029,'0408030'!A21)</f>
        <v>0</v>
      </c>
      <c r="C14" s="45">
        <f>COUNTIF('JULHO  2026'!E11:E603,'0403020'!A21)+COUNTIF('JULHO  2026'!E605:E1029,'0403020'!A21)</f>
        <v>0</v>
      </c>
      <c r="D14" s="45">
        <f>COUNTIF('JULHO  2026'!E11:E603,'0403030'!A21)+COUNTIF('JULHO  2026'!E605:E1029,'0403030'!A21)</f>
        <v>0</v>
      </c>
      <c r="E14" s="45">
        <f>COUNTIF('JULHO  2026'!E11:E603,'0403040'!A21)+COUNTIF('JULHO  2026'!E605:E1029,'0403040'!A21)</f>
        <v>0</v>
      </c>
      <c r="F14" s="45">
        <f>COUNTIF('JULHO  2026'!E11:E603,'0403050'!A21)+COUNTIF('JULHO  2026'!E605:E1029,'0403050'!A21)</f>
        <v>0</v>
      </c>
      <c r="G14" s="45">
        <f>COUNTIF('JULHO  2026'!E11:E603,'outros codigos'!A21)+COUNTIF('JULHO  2026'!E605:E1029,'outros codigos'!A21)</f>
        <v>0</v>
      </c>
      <c r="J14" s="73">
        <f>'0403020'!E26</f>
        <v>0</v>
      </c>
      <c r="L14" s="130">
        <f>'0403020'!D26</f>
        <v>0</v>
      </c>
    </row>
    <row r="15">
      <c r="A15" s="45">
        <f>COUNTIF('JULHO  2026'!E11:E603,'0403010'!A22)+COUNTIF('JULHO  2026'!E605:E1029,'0403010'!A22)</f>
        <v>0</v>
      </c>
      <c r="B15" s="45">
        <f>COUNTIF('JULHO  2026'!E11:E603,'0408030'!A22)+COUNTIF('JULHO  2026'!E605:E1029,'0408030'!A22)</f>
        <v>0</v>
      </c>
      <c r="C15" s="45">
        <f>COUNTIF('JULHO  2026'!E11:E603,'0403020'!A22)+COUNTIF('JULHO  2026'!E605:E1029,'0403020'!A22)</f>
        <v>0</v>
      </c>
      <c r="D15" s="45">
        <f>COUNTIF('JULHO  2026'!E11:E603,'0403030'!A22)+COUNTIF('JULHO  2026'!E605:E1029,'0403030'!A22)</f>
        <v>0</v>
      </c>
      <c r="E15" s="45">
        <f>COUNTIF('JULHO  2026'!E11:E603,'0403040'!A22)+COUNTIF('JULHO  2026'!E605:E1029,'0403040'!A22)</f>
        <v>0</v>
      </c>
      <c r="F15" s="45">
        <f>COUNTIF('JULHO  2026'!E11:E603,'0403050'!A22)+COUNTIF('JULHO  2026'!E605:E1029,'0403050'!A22)</f>
        <v>0</v>
      </c>
      <c r="G15" s="45">
        <f>COUNTIF('JULHO  2026'!E11:E603,'outros codigos'!A22)+COUNTIF('JULHO  2026'!E605:E1029,'outros codigos'!A22)</f>
        <v>0</v>
      </c>
      <c r="J15" s="73">
        <f>'0403030'!E28</f>
        <v>0</v>
      </c>
      <c r="L15" s="130">
        <f>'0403030'!D28</f>
        <v>0</v>
      </c>
    </row>
    <row r="16">
      <c r="A16" s="45">
        <f>COUNTIF('JULHO  2026'!E11:E603,'0403010'!A23)+COUNTIF('JULHO  2026'!E605:E1029,'0403010'!A23)</f>
        <v>0</v>
      </c>
      <c r="B16" s="45">
        <f>COUNTIF('JULHO  2026'!E11:E603,'0408030'!A23)+COUNTIF('JULHO  2026'!E605:E1029,'0408030'!A23)</f>
        <v>0</v>
      </c>
      <c r="C16" s="45">
        <f>COUNTIF('JULHO  2026'!E11:E603,'0403020'!A23)+COUNTIF('JULHO  2026'!E605:E1029,'0403020'!A23)</f>
        <v>0</v>
      </c>
      <c r="D16" s="45">
        <f>COUNTIF('JULHO  2026'!E11:E603,'0403030'!A23)+COUNTIF('JULHO  2026'!E605:E1029,'0403030'!A23)</f>
        <v>0</v>
      </c>
      <c r="E16" s="45"/>
      <c r="F16" s="45">
        <f>COUNTIF('JULHO  2026'!E11:E603,'0403050'!A23)+COUNTIF('JULHO  2026'!E605:E1029,'0403050'!A23)</f>
        <v>0</v>
      </c>
      <c r="G16" s="45">
        <f>COUNTIF('JULHO  2026'!E11:E603,'outros codigos'!A23)+COUNTIF('JULHO  2026'!E605:E1029,'outros codigos'!A23)</f>
        <v>0</v>
      </c>
      <c r="J16" s="73">
        <f>'0403040'!E23</f>
        <v>0</v>
      </c>
      <c r="L16" s="130">
        <f>'0403040'!D23</f>
        <v>0</v>
      </c>
    </row>
    <row r="17">
      <c r="A17" s="45">
        <f>COUNTIF('JULHO  2026'!E11:E603,'0403010'!A24)+COUNTIF('JULHO  2026'!E605:E1029,'0403010'!A24)</f>
        <v>0</v>
      </c>
      <c r="B17" s="45">
        <f>COUNTIF('JULHO  2026'!E11:E603,'0408030'!A24)+COUNTIF('JULHO  2026'!E605:E1029,'0408030'!A24)</f>
        <v>0</v>
      </c>
      <c r="C17" s="45">
        <f>COUNTIF('JULHO  2026'!E11:E603,'0403020'!A24)+COUNTIF('JULHO  2026'!E605:E1029,'0403020'!A24)</f>
        <v>0</v>
      </c>
      <c r="D17" s="45">
        <f>COUNTIF('JULHO  2026'!E11:E603,'0403030'!A24)+COUNTIF('JULHO  2026'!E605:E1029,'0403030'!A24)</f>
        <v>0</v>
      </c>
      <c r="E17" s="45"/>
      <c r="F17" s="45">
        <f>COUNTIF('JULHO  2026'!E11:E603,'0403050'!A24)+COUNTIF('JULHO  2026'!E605:E1029,'0403050'!A24)</f>
        <v>0</v>
      </c>
      <c r="G17" s="45">
        <f>COUNTIF('JULHO  2026'!E11:E603,'outros codigos'!A24)+COUNTIF('JULHO  2026'!E605:E1029,'outros codigos'!A24)</f>
        <v>0</v>
      </c>
      <c r="J17" s="73">
        <f>'0403050'!E29</f>
        <v>0</v>
      </c>
      <c r="L17" s="130">
        <f>'0403050'!D29</f>
        <v>0</v>
      </c>
    </row>
    <row r="18">
      <c r="A18" s="45">
        <f>COUNTIF('JULHO  2026'!E11:E603,'0403010'!A25)+COUNTIF('JULHO  2026'!E605:E1029,'0403010'!A25)</f>
        <v>0</v>
      </c>
      <c r="B18" s="45">
        <f>COUNTIF('JULHO  2026'!E11:E603,'0408030'!A25)+COUNTIF('JULHO  2026'!E605:E1029,'0408030'!A25)</f>
        <v>0</v>
      </c>
      <c r="C18" s="45">
        <f>COUNTIF('JULHO  2026'!E11:E603,'0403020'!A25)+COUNTIF('JULHO  2026'!E605:E1029,'0403020'!A25)</f>
        <v>0</v>
      </c>
      <c r="D18" s="45">
        <f>COUNTIF('JULHO  2026'!E11:E603,'0403030'!A25)+COUNTIF('JULHO  2026'!E605:E1029,'0403030'!A25)</f>
        <v>0</v>
      </c>
      <c r="E18" s="45"/>
      <c r="F18" s="45">
        <f>COUNTIF('JULHO  2026'!E11:E603,'0403050'!A25)+COUNTIF('JULHO  2026'!E605:E1029,'0403050'!A25)</f>
        <v>0</v>
      </c>
      <c r="G18" s="45">
        <f>COUNTIF('JULHO  2026'!E11:E603,'outros codigos'!A25)+COUNTIF('JULHO  2026'!E605:E1029,'outros codigos'!A25)</f>
        <v>0</v>
      </c>
      <c r="J18" s="73">
        <f>'outros codigos'!E84</f>
        <v>0</v>
      </c>
      <c r="L18" s="130">
        <f>'outros codigos'!D84</f>
        <v>0</v>
      </c>
    </row>
    <row r="19">
      <c r="A19" s="45">
        <f>COUNTIF('JULHO  2026'!E11:E603,'0403010'!A26)+COUNTIF('JULHO  2026'!E605:E1029,'0403010'!A26)</f>
        <v>0</v>
      </c>
      <c r="B19" s="45">
        <f>COUNTIF('JULHO  2026'!E11:E603,'0408030'!A26)+COUNTIF('JULHO  2026'!E605:E1029,'0408030'!A26)</f>
        <v>0</v>
      </c>
      <c r="C19" s="45"/>
      <c r="D19" s="45">
        <f>COUNTIF('JULHO  2026'!E11:E603,'0403030'!A26)+COUNTIF('JULHO  2026'!E605:E1029,'0403030'!A26)</f>
        <v>0</v>
      </c>
      <c r="E19" s="45"/>
      <c r="F19" s="45">
        <f>COUNTIF('JULHO  2026'!E11:E603,'0403050'!A26)+COUNTIF('JULHO  2026'!E605:E1029,'0403050'!A26)</f>
        <v>0</v>
      </c>
      <c r="G19" s="45">
        <f>COUNTIF('JULHO  2026'!E11:E603,'outros codigos'!A26)+COUNTIF('JULHO  2026'!E605:E1029,'outros codigos'!A26)</f>
        <v>0</v>
      </c>
      <c r="J19" s="73">
        <f>SUM(J12:J18)</f>
        <v>0</v>
      </c>
      <c r="L19" s="130">
        <f>SUM(L12:L18)</f>
        <v>0</v>
      </c>
    </row>
    <row r="20">
      <c r="A20" s="45">
        <f>COUNTIF('JULHO  2026'!E11:E603,'0403010'!A27)+COUNTIF('JULHO  2026'!E605:E1029,'0403010'!A27)</f>
        <v>0</v>
      </c>
      <c r="B20" s="45">
        <f>COUNTIF('JULHO  2026'!E11:E603,'0408030'!A27)+COUNTIF('JULHO  2026'!E605:E1029,'0408030'!A27)</f>
        <v>0</v>
      </c>
      <c r="C20" s="45"/>
      <c r="D20" s="45">
        <f>COUNTIF('JULHO  2026'!E11:E603,'0403030'!A27)+COUNTIF('JULHO  2026'!E605:E1029,'0403030'!A27)</f>
        <v>0</v>
      </c>
      <c r="E20" s="45"/>
      <c r="F20" s="45">
        <f>COUNTIF('JULHO  2026'!E11:E603,'0403050'!A27)+COUNTIF('JULHO  2026'!E605:E1029,'0403050'!A27)</f>
        <v>0</v>
      </c>
      <c r="G20" s="45">
        <f>COUNTIF('JULHO  2026'!E11:E603,'outros codigos'!A27)+COUNTIF('JULHO  2026'!E605:E1029,'outros codigos'!A27)</f>
        <v>0</v>
      </c>
    </row>
    <row r="21" ht="15.75" customHeight="1">
      <c r="A21" s="45">
        <f>COUNTIF('JULHO  2026'!E11:E603,'0403010'!A28)+COUNTIF('JULHO  2026'!E605:E1029,'0403010'!A28)</f>
        <v>0</v>
      </c>
      <c r="B21" s="45">
        <f>COUNTIF('JULHO  2026'!E11:E603,'0408030'!A28)+COUNTIF('JULHO  2026'!E605:E1029,'0408030'!A28)</f>
        <v>0</v>
      </c>
      <c r="C21" s="45"/>
      <c r="D21" s="45"/>
      <c r="E21" s="45"/>
      <c r="F21" s="45">
        <f>COUNTIF('JULHO  2026'!E11:E603,'0403050'!A28)+COUNTIF('JULHO  2026'!E605:E1029,'0403050'!A28)</f>
        <v>0</v>
      </c>
      <c r="G21" s="45">
        <f>COUNTIF('JULHO  2026'!E11:E603,'outros codigos'!A28)+COUNTIF('JULHO  2026'!E605:E1029,'outros codigos'!A28)</f>
        <v>0</v>
      </c>
    </row>
    <row r="22" ht="15.75" customHeight="1">
      <c r="A22" s="45">
        <f>COUNTIF('JULHO  2026'!E11:E603,'0403010'!A29)+COUNTIF('JULHO  2026'!E605:E1029,'0403010'!A29)</f>
        <v>0</v>
      </c>
      <c r="B22" s="45">
        <f>COUNTIF('JULHO  2026'!E11:E603,'0408030'!A29)+COUNTIF('JULHO  2026'!E605:E1029,'0408030'!A29)</f>
        <v>0</v>
      </c>
      <c r="C22" s="45"/>
      <c r="D22" s="45"/>
      <c r="E22" s="45"/>
      <c r="F22" s="45"/>
      <c r="G22" s="45">
        <f>COUNTIF('JULHO  2026'!E11:E603,'outros codigos'!A29)+COUNTIF('JULHO  2026'!E605:E1029,'outros codigos'!A29)</f>
        <v>0</v>
      </c>
      <c r="J22" s="73">
        <f>J8-J9</f>
        <v>0</v>
      </c>
    </row>
    <row r="23" ht="15.75" customHeight="1">
      <c r="A23" s="45">
        <f>COUNTIF('JULHO  2026'!E11:E603,'0403010'!A30)+COUNTIF('JULHO  2026'!E605:E1029,'0403010'!A30)</f>
        <v>0</v>
      </c>
      <c r="B23" s="45">
        <f>COUNTIF('JULHO  2026'!E11:E603,'0408030'!A30)+COUNTIF('JULHO  2026'!E605:E1029,'0408030'!A30)</f>
        <v>0</v>
      </c>
      <c r="C23" s="45"/>
      <c r="D23" s="45"/>
      <c r="E23" s="45"/>
      <c r="F23" s="45"/>
      <c r="G23" s="45"/>
    </row>
    <row r="24" ht="15.75" customHeight="1">
      <c r="A24" s="45">
        <f>COUNTIF('JULHO  2026'!E11:E603,'0403010'!A31)+COUNTIF('JULHO  2026'!E605:E1029,'0403010'!A31)</f>
        <v>0</v>
      </c>
      <c r="B24" s="45">
        <f>COUNTIF('JULHO  2026'!E11:E603,'0408030'!A31)+COUNTIF('JULHO  2026'!E605:E1029,'0408030'!A31)</f>
        <v>0</v>
      </c>
      <c r="C24" s="45"/>
      <c r="D24" s="45"/>
      <c r="E24" s="45"/>
      <c r="F24" s="45"/>
      <c r="G24" s="45"/>
    </row>
    <row r="25" ht="15.75" customHeight="1">
      <c r="A25" s="45">
        <f>COUNTIF('JULHO  2026'!E11:E603,'0403010'!A32)+COUNTIF('JULHO  2026'!E605:E1029,'0403010'!A32)</f>
        <v>0</v>
      </c>
      <c r="B25" s="45">
        <f>COUNTIF('JULHO  2026'!E11:E603,'0408030'!A32)+COUNTIF('JULHO  2026'!E605:E1029,'0408030'!A32)</f>
        <v>0</v>
      </c>
      <c r="C25" s="45"/>
      <c r="D25" s="45"/>
      <c r="E25" s="45"/>
      <c r="F25" s="45"/>
      <c r="G25" s="45"/>
    </row>
    <row r="26" ht="15.75" customHeight="1">
      <c r="A26" s="45">
        <f>COUNTIF('JULHO  2026'!E11:E603,'0403010'!A33)+COUNTIF('JULHO  2026'!E605:E1029,'0403010'!A33)</f>
        <v>0</v>
      </c>
      <c r="B26" s="45">
        <f>COUNTIF('JULHO  2026'!E11:E603,'0408030'!A33)+COUNTIF('JULHO  2026'!E605:E1029,'0408030'!A33)</f>
        <v>0</v>
      </c>
      <c r="C26" s="45"/>
      <c r="D26" s="45"/>
      <c r="E26" s="45"/>
      <c r="F26" s="45"/>
      <c r="G26" s="45"/>
    </row>
    <row r="27" ht="15.75" customHeight="1">
      <c r="A27" s="45">
        <f>COUNTIF('JULHO  2026'!E11:E603,'0403010'!A34)+COUNTIF('JULHO  2026'!E605:E1029,'0403010'!A34)</f>
        <v>0</v>
      </c>
      <c r="B27" s="45">
        <f>COUNTIF('JULHO  2026'!E11:E603,'0408030'!A34)+COUNTIF('JULHO  2026'!E605:E1029,'0408030'!A34)</f>
        <v>0</v>
      </c>
      <c r="C27" s="45"/>
      <c r="D27" s="45"/>
      <c r="E27" s="45"/>
      <c r="F27" s="45"/>
      <c r="G27" s="45"/>
    </row>
    <row r="28" ht="15.75" customHeight="1">
      <c r="A28" s="45">
        <f>COUNTIF('JULHO  2026'!E11:E603,'0403010'!A35)+COUNTIF('JULHO  2026'!E605:E1029,'0403010'!A35)</f>
        <v>0</v>
      </c>
      <c r="B28" s="45">
        <f>COUNTIF('JULHO  2026'!E11:E603,'0408030'!A35)+COUNTIF('JULHO  2026'!E605:E1029,'0408030'!A35)</f>
        <v>0</v>
      </c>
      <c r="C28" s="45"/>
      <c r="D28" s="45"/>
      <c r="E28" s="45"/>
      <c r="F28" s="45"/>
      <c r="G28" s="45"/>
    </row>
    <row r="29" ht="15.75" customHeight="1">
      <c r="A29" s="45">
        <f>COUNTIF('JULHO  2026'!E11:E603,'0403010'!A37)+COUNTIF('JULHO  2026'!E605:E1029,'0403010'!A37)</f>
        <v>0</v>
      </c>
      <c r="B29" s="45">
        <f>COUNTIF('JULHO  2026'!E11:E603,'0408030'!A36)+COUNTIF('JULHO  2026'!E605:E1029,'0408030'!A36)</f>
        <v>0</v>
      </c>
      <c r="C29" s="45"/>
      <c r="D29" s="45"/>
      <c r="E29" s="45"/>
      <c r="F29" s="45"/>
      <c r="G29" s="45"/>
    </row>
    <row r="30" ht="15.75" customHeight="1">
      <c r="A30" s="45">
        <f>COUNTIF('JULHO  2026'!E11:E603,'0403010'!A38)+COUNTIF('JULHO  2026'!E605:E1029,'0403010'!A38)</f>
        <v>0</v>
      </c>
      <c r="B30" s="45">
        <f>COUNTIF('JULHO  2026'!E11:E603,'0408030'!A37)+COUNTIF('JULHO  2026'!E605:E1029,'0408030'!A37)</f>
        <v>0</v>
      </c>
      <c r="C30" s="45"/>
      <c r="D30" s="45"/>
      <c r="E30" s="45"/>
      <c r="F30" s="45"/>
      <c r="G30" s="45"/>
    </row>
    <row r="31" ht="15.75" customHeight="1">
      <c r="A31" s="45">
        <f>COUNTIF('JULHO  2026'!E11:E603,'0403010'!A39)+COUNTIF('JULHO  2026'!E605:E1029,'0403010'!A39)</f>
        <v>0</v>
      </c>
      <c r="B31" s="45">
        <f>COUNTIF('JULHO  2026'!E11:E603,'0408030'!A38)+COUNTIF('JULHO  2026'!E605:E1029,'0408030'!A38)</f>
        <v>0</v>
      </c>
      <c r="C31" s="45"/>
      <c r="D31" s="45"/>
      <c r="E31" s="45"/>
      <c r="F31" s="45"/>
      <c r="G31" s="45"/>
    </row>
    <row r="32" ht="15.75" customHeight="1">
      <c r="A32" s="45">
        <f>COUNTIF('JULHO  2026'!E11:E603,'0403010'!A40)+COUNTIF('JULHO  2026'!E605:E1029,'0403010'!A40)</f>
        <v>0</v>
      </c>
      <c r="B32" s="45">
        <f>COUNTIF('JULHO  2026'!E11:E603,'0408030'!A40)+COUNTIF('JULHO  2026'!E605:E1029,'0408030'!A40)</f>
        <v>0</v>
      </c>
      <c r="C32" s="45"/>
      <c r="D32" s="45"/>
      <c r="E32" s="45"/>
      <c r="F32" s="45"/>
      <c r="G32" s="45"/>
    </row>
    <row r="33" ht="15.75" customHeight="1">
      <c r="A33" s="45">
        <f>COUNTIF('JULHO  2026'!E11:E603,'0403010'!A41)+COUNTIF('JULHO  2026'!E605:E1029,'0403010'!A41)</f>
        <v>0</v>
      </c>
      <c r="B33" s="45">
        <f>COUNTIF('JULHO  2026'!E11:E603,'0408030'!A41)+COUNTIF('JULHO  2026'!E605:E1029,'0408030'!A41)</f>
        <v>0</v>
      </c>
      <c r="C33" s="45"/>
      <c r="D33" s="45"/>
      <c r="E33" s="45"/>
      <c r="F33" s="45"/>
      <c r="G33" s="45"/>
    </row>
    <row r="34" ht="15.75" customHeight="1">
      <c r="A34" s="45">
        <f>COUNTIF('JULHO  2026'!E11:E603,'0403010'!A42)+COUNTIF('JULHO  2026'!E605:E1029,'0403010'!A42)</f>
        <v>0</v>
      </c>
      <c r="B34" s="45">
        <f>COUNTIF('JULHO  2026'!E11:E603,'0408030'!A42)+COUNTIF('JULHO  2026'!E605:E1029,'0408030'!A42)</f>
        <v>0</v>
      </c>
      <c r="C34" s="45"/>
      <c r="D34" s="45"/>
      <c r="E34" s="45"/>
      <c r="F34" s="45"/>
      <c r="G34" s="45"/>
    </row>
    <row r="35" ht="15.75" customHeight="1">
      <c r="A35" s="45">
        <f>COUNTIF('JULHO  2026'!E11:E603,'0403010'!A43)+COUNTIF('JULHO  2026'!E605:E1029,'0403010'!A43)</f>
        <v>0</v>
      </c>
      <c r="B35" s="45">
        <f>COUNTIF('JULHO  2026'!E11:E603,'0408030'!A43)+COUNTIF('JULHO  2026'!E605:E1029,'0408030'!A43)</f>
        <v>0</v>
      </c>
      <c r="C35" s="45"/>
      <c r="D35" s="45"/>
      <c r="E35" s="45"/>
      <c r="F35" s="45"/>
      <c r="G35" s="45"/>
    </row>
    <row r="36" ht="15.75" customHeight="1">
      <c r="A36" s="45">
        <f>COUNTIF('JULHO  2026'!E11:E603,'0403010'!A44)+COUNTIF('JULHO  2026'!E605:E1029,'0403010'!A44)</f>
        <v>0</v>
      </c>
      <c r="B36" s="45">
        <f>COUNTIF('JULHO  2026'!E11:E603,'0408030'!A44)+COUNTIF('JULHO  2026'!E605:E1029,'0408030'!A44)</f>
        <v>0</v>
      </c>
      <c r="C36" s="45"/>
      <c r="D36" s="45"/>
      <c r="E36" s="45"/>
      <c r="F36" s="45"/>
      <c r="G36" s="45"/>
    </row>
    <row r="37" ht="15.75" customHeight="1">
      <c r="A37" s="45">
        <f>COUNTIF('JULHO  2026'!E11:E603,'0403010'!A45)+COUNTIF('JULHO  2026'!E605:E1029,'0403010'!A45)</f>
        <v>0</v>
      </c>
      <c r="B37" s="45">
        <f>COUNTIF('JULHO  2026'!E11:E603,'0408030'!A45)+COUNTIF('JULHO  2026'!E605:E1029,'0408030'!A45)</f>
        <v>0</v>
      </c>
      <c r="C37" s="45"/>
      <c r="D37" s="45"/>
      <c r="E37" s="45"/>
      <c r="F37" s="45"/>
      <c r="G37" s="45"/>
    </row>
    <row r="38" ht="15.75" customHeight="1">
      <c r="A38" s="45">
        <f>COUNTIF('JULHO  2026'!E11:E603,'0403010'!A46)+COUNTIF('JULHO  2026'!E605:E1029,'0403010'!A46)</f>
        <v>0</v>
      </c>
      <c r="B38" s="45">
        <f>COUNTIF('JULHO  2026'!E11:E603,'0408030'!A46)+COUNTIF('JULHO  2026'!E605:E1029,'0408030'!A46)</f>
        <v>0</v>
      </c>
      <c r="C38" s="45"/>
      <c r="D38" s="45"/>
      <c r="E38" s="45"/>
      <c r="F38" s="45"/>
      <c r="G38" s="45"/>
    </row>
    <row r="39" ht="15.75" customHeight="1">
      <c r="A39" s="45">
        <f>COUNTIF('JULHO  2026'!E11:E603,'0403010'!A47)+COUNTIF('JULHO  2026'!E605:E1029,'0403010'!A47)</f>
        <v>0</v>
      </c>
      <c r="B39" s="45">
        <f>COUNTIF('JULHO  2026'!E11:E603,'0408030'!A47)+COUNTIF('JULHO  2026'!E605:E1029,'0408030'!A47)</f>
        <v>0</v>
      </c>
      <c r="C39" s="45"/>
      <c r="D39" s="45"/>
      <c r="E39" s="45"/>
      <c r="F39" s="45"/>
      <c r="G39" s="45"/>
    </row>
    <row r="40" ht="15.75" customHeight="1">
      <c r="A40" s="45">
        <f>COUNTIF('JULHO  2026'!E11:E603,'0403010'!A48)+COUNTIF('JULHO  2026'!E605:E1029,'0403010'!A48)</f>
        <v>0</v>
      </c>
      <c r="B40" s="45">
        <f>COUNTIF('JULHO  2026'!E11:E603,'0408030'!A48)+COUNTIF('JULHO  2026'!E605:E1029,'0408030'!A48)</f>
        <v>0</v>
      </c>
      <c r="C40" s="45"/>
      <c r="D40" s="45"/>
      <c r="E40" s="45"/>
      <c r="F40" s="45"/>
      <c r="G40" s="45"/>
    </row>
    <row r="41" ht="15.75" customHeight="1">
      <c r="A41" s="45">
        <f>COUNTIF('JULHO  2026'!E11:E603,'0403010'!A49)+COUNTIF('JULHO  2026'!E605:E1029,'0403010'!A49)</f>
        <v>0</v>
      </c>
      <c r="B41" s="45">
        <f>COUNTIF('JULHO  2026'!E11:E603,'0408030'!A49)+COUNTIF('JULHO  2026'!E605:E1029,'0408030'!A49)</f>
        <v>0</v>
      </c>
      <c r="C41" s="45"/>
      <c r="D41" s="45"/>
      <c r="E41" s="45"/>
      <c r="F41" s="45"/>
      <c r="G41" s="45"/>
    </row>
    <row r="42" ht="15.75" customHeight="1">
      <c r="A42" s="45">
        <f>COUNTIF('JULHO  2026'!E11:E603,'0403010'!A50)+COUNTIF('JULHO  2026'!E605:E1029,'0403010'!A50)</f>
        <v>0</v>
      </c>
      <c r="B42" s="45">
        <f>COUNTIF('JULHO  2026'!E11:E603,'0408030'!A50)+COUNTIF('JULHO  2026'!E605:E1029,'0408030'!A50)</f>
        <v>0</v>
      </c>
      <c r="C42" s="45"/>
      <c r="D42" s="45"/>
      <c r="E42" s="45"/>
      <c r="F42" s="45"/>
      <c r="G42" s="45"/>
    </row>
    <row r="43" ht="15.75" customHeight="1">
      <c r="A43" s="45"/>
      <c r="B43" s="45">
        <f>COUNTIF('JULHO  2026'!E11:E603,'0408030'!A51)+COUNTIF('JULHO  2026'!E605:E1029,'0408030'!A51)</f>
        <v>0</v>
      </c>
      <c r="C43" s="45"/>
      <c r="D43" s="45"/>
      <c r="E43" s="45"/>
      <c r="F43" s="45"/>
      <c r="G43" s="45"/>
    </row>
    <row r="44" ht="15.75" customHeight="1">
      <c r="A44" s="45"/>
      <c r="B44" s="45">
        <f>COUNTIF('JULHO  2026'!E11:E603,'0408030'!A52)+COUNTIF('JULHO  2026'!E605:E1029,'0408030'!A52)</f>
        <v>0</v>
      </c>
      <c r="C44" s="45"/>
      <c r="D44" s="45"/>
      <c r="E44" s="45"/>
      <c r="F44" s="45"/>
      <c r="G44" s="45"/>
    </row>
    <row r="45" ht="15.75" customHeight="1">
      <c r="A45" s="45"/>
      <c r="B45" s="45">
        <f>COUNTIF('JULHO  2026'!E11:E603,'0408030'!A53)+COUNTIF('JULHO  2026'!E605:E1029,'0408030'!A53)</f>
        <v>0</v>
      </c>
      <c r="C45" s="45"/>
      <c r="D45" s="45"/>
      <c r="E45" s="45"/>
      <c r="F45" s="45"/>
      <c r="G45" s="45"/>
    </row>
    <row r="46" ht="15.75" customHeight="1">
      <c r="A46" s="45"/>
      <c r="B46" s="45">
        <f>COUNTIF('JULHO  2026'!E11:E603,'0408030'!A54)+COUNTIF('JULHO  2026'!E605:E1029,'0408030'!A54)</f>
        <v>0</v>
      </c>
      <c r="C46" s="45"/>
      <c r="D46" s="45"/>
      <c r="E46" s="45"/>
      <c r="F46" s="45"/>
      <c r="G46" s="45"/>
    </row>
    <row r="47" ht="15.75" customHeight="1">
      <c r="A47" s="45"/>
      <c r="B47" s="45">
        <f>COUNTIF('JULHO  2026'!E11:E603,'0408030'!A55)+COUNTIF('JULHO  2026'!E605:E1029,'0408030'!A55)</f>
        <v>0</v>
      </c>
      <c r="C47" s="45"/>
      <c r="D47" s="45"/>
      <c r="E47" s="45"/>
      <c r="F47" s="45"/>
      <c r="G47" s="45"/>
    </row>
    <row r="48" ht="15.75" customHeight="1">
      <c r="A48" s="45"/>
      <c r="B48" s="45">
        <f>COUNTIF('JULHO  2026'!E11:E603,'0408030'!A56)+COUNTIF('JULHO  2026'!E605:E1029,'0408030'!A56)</f>
        <v>0</v>
      </c>
      <c r="C48" s="45"/>
      <c r="D48" s="45"/>
      <c r="E48" s="45"/>
      <c r="F48" s="45"/>
      <c r="G48" s="45"/>
    </row>
    <row r="49" ht="15.75" customHeight="1">
      <c r="A49" s="45"/>
      <c r="B49" s="45">
        <f>COUNTIF('JULHO  2026'!E11:E603,'0408030'!A57)+COUNTIF('JULHO  2026'!E605:E1029,'0408030'!A57)</f>
        <v>0</v>
      </c>
      <c r="C49" s="45"/>
      <c r="D49" s="45"/>
      <c r="E49" s="45"/>
      <c r="F49" s="45"/>
      <c r="G49" s="45"/>
    </row>
    <row r="50" ht="15.75" customHeight="1">
      <c r="A50" s="45"/>
      <c r="B50" s="45">
        <f>COUNTIF('JULHO  2026'!E11:E603,'0408030'!A58)+COUNTIF('JULHO  2026'!E605:E1029,'0408030'!A58)</f>
        <v>0</v>
      </c>
      <c r="C50" s="45"/>
      <c r="D50" s="45"/>
      <c r="E50" s="45"/>
      <c r="F50" s="45"/>
      <c r="G50" s="45"/>
    </row>
    <row r="51" ht="15.75" customHeight="1">
      <c r="A51" s="45"/>
      <c r="B51" s="45">
        <f>COUNTIF('JULHO  2026'!E11:E603,'0408030'!A59)+COUNTIF('JULHO  2026'!E605:E1029,'0408030'!A59)</f>
        <v>0</v>
      </c>
      <c r="C51" s="45"/>
      <c r="D51" s="45"/>
      <c r="E51" s="45"/>
      <c r="F51" s="45"/>
      <c r="G51" s="45"/>
    </row>
    <row r="52" ht="15.75" customHeight="1">
      <c r="A52" s="45"/>
      <c r="B52" s="45">
        <f>COUNTIF('JULHO  2026'!E11:E603,'0408030'!A60)+COUNTIF('JULHO  2026'!E605:E1029,'0408030'!A60)</f>
        <v>0</v>
      </c>
      <c r="C52" s="45"/>
      <c r="D52" s="45"/>
      <c r="E52" s="45"/>
      <c r="F52" s="45"/>
      <c r="G52" s="45"/>
    </row>
    <row r="53" ht="15.75" customHeight="1">
      <c r="A53" s="45"/>
      <c r="B53" s="45">
        <f>COUNTIF('JULHO  2026'!E11:E603,'0408030'!A61)+COUNTIF('JULHO  2026'!E605:E1029,'0408030'!A61)</f>
        <v>0</v>
      </c>
      <c r="C53" s="45"/>
      <c r="D53" s="45"/>
      <c r="E53" s="45"/>
      <c r="F53" s="45"/>
      <c r="G53" s="45"/>
    </row>
    <row r="54" ht="15.75" customHeight="1">
      <c r="A54" s="45"/>
      <c r="B54" s="45">
        <f>COUNTIF('JULHO  2026'!E11:E603,'0408030'!A62)+COUNTIF('JULHO  2026'!E605:E1029,'0408030'!A62)</f>
        <v>0</v>
      </c>
      <c r="C54" s="45"/>
      <c r="D54" s="45"/>
      <c r="E54" s="45"/>
      <c r="F54" s="45"/>
      <c r="G54" s="45"/>
    </row>
    <row r="55" ht="15.75" customHeight="1">
      <c r="A55" s="45"/>
      <c r="B55" s="45">
        <f>COUNTIF('JULHO  2026'!E11:E603,'0408030'!A63)+COUNTIF('JULHO  2026'!E605:E1029,'0408030'!A63)</f>
        <v>0</v>
      </c>
      <c r="C55" s="45"/>
      <c r="D55" s="45"/>
      <c r="E55" s="45"/>
      <c r="F55" s="45"/>
      <c r="G55" s="45"/>
    </row>
    <row r="56" ht="15.75" customHeight="1">
      <c r="A56" s="45"/>
      <c r="B56" s="45">
        <f>COUNTIF('JULHO  2026'!E11:E603,'0408030'!A64)+COUNTIF('JULHO  2026'!E605:E1029,'0408030'!A64)</f>
        <v>0</v>
      </c>
      <c r="C56" s="45"/>
      <c r="D56" s="45"/>
      <c r="E56" s="45"/>
      <c r="F56" s="45"/>
      <c r="G56" s="45"/>
    </row>
    <row r="57" ht="15.75" customHeight="1">
      <c r="A57" s="45"/>
      <c r="B57" s="45">
        <f>COUNTIF('JULHO  2026'!E11:E603,'0408030'!A65)+COUNTIF('JULHO  2026'!E605:E1029,'0408030'!A65)</f>
        <v>0</v>
      </c>
      <c r="C57" s="45"/>
      <c r="D57" s="45"/>
      <c r="E57" s="45"/>
      <c r="F57" s="45"/>
      <c r="G57" s="45"/>
    </row>
    <row r="58" ht="15.75" customHeight="1">
      <c r="A58" s="45"/>
      <c r="B58" s="45">
        <f>COUNTIF('JULHO  2026'!E11:E603,'0408030'!A66)+COUNTIF('JULHO  2026'!E605:E1029,'0408030'!A66)</f>
        <v>0</v>
      </c>
      <c r="C58" s="45"/>
      <c r="D58" s="45"/>
      <c r="E58" s="45"/>
      <c r="F58" s="45"/>
      <c r="G58" s="45"/>
    </row>
    <row r="59" ht="15.75" customHeight="1">
      <c r="A59" s="45"/>
      <c r="B59" s="45">
        <f>COUNTIF('JULHO  2026'!E11:E603,'0408030'!A67)+COUNTIF('JULHO  2026'!E605:E1029,'0408030'!A67)</f>
        <v>0</v>
      </c>
      <c r="C59" s="45"/>
      <c r="D59" s="45"/>
      <c r="E59" s="45"/>
      <c r="F59" s="45"/>
      <c r="G59" s="45"/>
    </row>
    <row r="60" ht="15.75" customHeight="1">
      <c r="A60" s="45"/>
      <c r="B60" s="45">
        <f>COUNTIF('JULHO  2026'!E11:E603,'0408030'!A68)+COUNTIF('JULHO  2026'!E605:E1029,'0408030'!A68)</f>
        <v>0</v>
      </c>
      <c r="C60" s="45"/>
      <c r="D60" s="45"/>
      <c r="E60" s="45"/>
      <c r="F60" s="45"/>
      <c r="G60" s="45"/>
    </row>
    <row r="61" ht="15.75" customHeight="1">
      <c r="A61" s="45"/>
      <c r="B61" s="45">
        <f>COUNTIF('JULHO  2026'!E11:E603,'0408030'!A69)+COUNTIF('JULHO  2026'!E605:E1029,'0408030'!A69)</f>
        <v>0</v>
      </c>
      <c r="C61" s="45"/>
      <c r="D61" s="45"/>
      <c r="E61" s="45"/>
      <c r="F61" s="45"/>
      <c r="G61" s="45"/>
    </row>
    <row r="62" ht="15.75" customHeight="1">
      <c r="A62" s="45"/>
      <c r="B62" s="45">
        <f>COUNTIF('JULHO  2026'!E11:E603,'0408030'!A70)+COUNTIF('JULHO  2026'!E605:E1029,'0408030'!A70)</f>
        <v>0</v>
      </c>
      <c r="C62" s="45"/>
      <c r="D62" s="45"/>
      <c r="E62" s="45"/>
      <c r="F62" s="45"/>
      <c r="G62" s="45"/>
    </row>
    <row r="63" ht="15.75" customHeight="1">
      <c r="A63" s="45"/>
      <c r="B63" s="45">
        <f>COUNTIF('JULHO  2026'!E11:E603,'0408030'!A71)+COUNTIF('JULHO  2026'!E605:E1029,'0408030'!A71)</f>
        <v>0</v>
      </c>
      <c r="C63" s="45"/>
      <c r="D63" s="45"/>
      <c r="E63" s="45"/>
      <c r="F63" s="45"/>
      <c r="G63" s="45"/>
    </row>
    <row r="64" ht="15.75" customHeight="1">
      <c r="A64" s="45"/>
      <c r="B64" s="45">
        <f>COUNTIF('JULHO  2026'!E11:E603,'0408030'!A72)+COUNTIF('JULHO  2026'!E605:E1029,'0408030'!A72)</f>
        <v>0</v>
      </c>
      <c r="C64" s="45"/>
      <c r="D64" s="45"/>
      <c r="E64" s="45"/>
      <c r="F64" s="45"/>
      <c r="G64" s="45"/>
    </row>
    <row r="65" ht="15.75" customHeight="1">
      <c r="A65" s="45"/>
      <c r="B65" s="45">
        <f>COUNTIF('JULHO  2026'!E11:E603,'0408030'!A73)+COUNTIF('JULHO  2026'!E605:E1029,'0408030'!A73)</f>
        <v>0</v>
      </c>
      <c r="C65" s="45"/>
      <c r="D65" s="45"/>
      <c r="E65" s="45"/>
      <c r="F65" s="45"/>
      <c r="G65" s="45"/>
    </row>
    <row r="66" ht="15.75" customHeight="1">
      <c r="A66" s="45"/>
      <c r="B66" s="45">
        <f>COUNTIF('JULHO  2026'!E11:E603,'0408030'!A74)+COUNTIF('JULHO  2026'!E605:E1029,'0408030'!A74)</f>
        <v>0</v>
      </c>
      <c r="C66" s="45"/>
      <c r="D66" s="45"/>
      <c r="E66" s="45"/>
      <c r="F66" s="45"/>
      <c r="G66" s="45"/>
    </row>
    <row r="67" ht="15.75" customHeight="1">
      <c r="A67" s="45"/>
      <c r="B67" s="45">
        <f>COUNTIF('JULHO  2026'!E11:E603,'0408030'!A75)+COUNTIF('JULHO  2026'!E605:E1029,'0408030'!A75)</f>
        <v>0</v>
      </c>
      <c r="C67" s="45"/>
      <c r="D67" s="45"/>
      <c r="E67" s="45"/>
      <c r="F67" s="45"/>
      <c r="G67" s="45"/>
    </row>
    <row r="68" ht="15.75" customHeight="1">
      <c r="A68" s="45"/>
      <c r="B68" s="45">
        <f>COUNTIF('JULHO  2026'!E11:E603,'0408030'!A76)+COUNTIF('JULHO  2026'!E605:E1029,'0408030'!A76)</f>
        <v>0</v>
      </c>
      <c r="C68" s="45"/>
      <c r="D68" s="45"/>
      <c r="E68" s="45"/>
      <c r="F68" s="45"/>
      <c r="G68" s="45"/>
    </row>
    <row r="69" ht="15.75" customHeight="1">
      <c r="A69" s="45"/>
      <c r="B69" s="45">
        <f>COUNTIF('JULHO  2026'!E11:E603,'0408030'!A78)+COUNTIF('JULHO  2026'!E605:E1029,'0408030'!A78)</f>
        <v>0</v>
      </c>
      <c r="C69" s="45"/>
      <c r="D69" s="45"/>
      <c r="E69" s="45"/>
      <c r="F69" s="45"/>
      <c r="G69" s="45"/>
    </row>
    <row r="70" ht="15.75" customHeight="1">
      <c r="A70" s="45"/>
      <c r="B70" s="45">
        <f>COUNTIF('JULHO  2026'!E11:E603,'0408030'!A79)+COUNTIF('JULHO  2026'!E605:E1029,'0408030'!A79)</f>
        <v>0</v>
      </c>
      <c r="C70" s="45"/>
      <c r="D70" s="45"/>
      <c r="E70" s="45"/>
      <c r="F70" s="45"/>
      <c r="G70" s="45"/>
    </row>
    <row r="71" ht="15.75" customHeight="1">
      <c r="A71" s="45"/>
      <c r="B71" s="45">
        <f>COUNTIF('JULHO  2026'!E11:E603,'0408030'!A80)+COUNTIF('JULHO  2026'!E605:E1029,'0408030'!A80)</f>
        <v>0</v>
      </c>
      <c r="C71" s="45"/>
      <c r="D71" s="45"/>
      <c r="E71" s="45"/>
      <c r="F71" s="45"/>
      <c r="G71" s="45"/>
    </row>
    <row r="72" ht="15.75" customHeight="1">
      <c r="A72" s="45"/>
      <c r="B72" s="45">
        <f>COUNTIF('JULHO  2026'!E11:E603,'0408030'!A81)+COUNTIF('JULHO  2026'!E605:E1029,'0408030'!A81)</f>
        <v>0</v>
      </c>
      <c r="C72" s="45"/>
      <c r="D72" s="45"/>
      <c r="E72" s="45"/>
      <c r="F72" s="45"/>
      <c r="G72" s="45"/>
    </row>
    <row r="73" ht="15.75" customHeight="1">
      <c r="A73" s="45"/>
      <c r="B73" s="45">
        <f>COUNTIF('JULHO  2026'!E11:E603,'0408030'!A82)+COUNTIF('JULHO  2026'!E605:E1029,'0408030'!A82)</f>
        <v>0</v>
      </c>
      <c r="C73" s="45"/>
      <c r="D73" s="45"/>
      <c r="E73" s="45"/>
      <c r="F73" s="45"/>
      <c r="G73" s="45"/>
    </row>
    <row r="74" ht="15.75" customHeight="1">
      <c r="A74" s="45"/>
      <c r="B74" s="45">
        <f>COUNTIF('JULHO  2026'!E11:E603,'0408030'!A83)+COUNTIF('JULHO  2026'!E605:E1029,'0408030'!A83)</f>
        <v>0</v>
      </c>
      <c r="C74" s="45"/>
      <c r="D74" s="45"/>
      <c r="E74" s="45"/>
      <c r="F74" s="45"/>
      <c r="G74" s="45"/>
    </row>
    <row r="75" ht="15.75" customHeight="1">
      <c r="A75" s="45"/>
      <c r="B75" s="45">
        <f>COUNTIF('JULHO  2026'!E11:E603,'0408030'!A84)+COUNTIF('JULHO  2026'!E605:E1029,'0408030'!A84)</f>
        <v>0</v>
      </c>
      <c r="C75" s="45"/>
      <c r="D75" s="45"/>
      <c r="E75" s="45"/>
      <c r="F75" s="45"/>
      <c r="G75" s="45"/>
    </row>
    <row r="76" ht="15.75" customHeight="1">
      <c r="A76" s="45"/>
      <c r="B76" s="45">
        <f>COUNTIF('JULHO  2026'!E11:E603,'0408030'!A85)+COUNTIF('JULHO  2026'!E605:E1029,'0408030'!A85)</f>
        <v>0</v>
      </c>
      <c r="C76" s="45"/>
      <c r="D76" s="45"/>
      <c r="E76" s="45"/>
      <c r="F76" s="45"/>
      <c r="G76" s="45"/>
    </row>
    <row r="77" ht="15.75" customHeight="1">
      <c r="A77" s="45"/>
      <c r="B77" s="45">
        <f>COUNTIF('JULHO  2026'!E11:E603,'0408030'!A86)+COUNTIF('JULHO  2026'!E605:E1029,'0408030'!A86)</f>
        <v>0</v>
      </c>
      <c r="C77" s="45"/>
      <c r="D77" s="45"/>
      <c r="E77" s="45"/>
      <c r="F77" s="45"/>
      <c r="G77" s="45"/>
    </row>
    <row r="78" ht="15.75" customHeight="1">
      <c r="A78" s="45"/>
      <c r="B78" s="45">
        <f>COUNTIF('JULHO  2026'!E11:E603,'0408030'!A87)+COUNTIF('JULHO  2026'!E605:E1029,'0408030'!A87)</f>
        <v>0</v>
      </c>
      <c r="C78" s="45"/>
      <c r="D78" s="45"/>
      <c r="E78" s="45"/>
      <c r="F78" s="45"/>
      <c r="G78" s="45"/>
    </row>
    <row r="79" ht="15.75" customHeight="1">
      <c r="A79" s="45"/>
      <c r="B79" s="45">
        <f>COUNTIF('JULHO  2026'!E11:E603,'0408030'!A88)+COUNTIF('JULHO  2026'!E605:E1029,'0408030'!A88)</f>
        <v>0</v>
      </c>
      <c r="C79" s="45"/>
      <c r="D79" s="45"/>
      <c r="E79" s="45"/>
      <c r="F79" s="45"/>
      <c r="G79" s="45"/>
    </row>
    <row r="80" ht="15.75" customHeight="1">
      <c r="A80" s="45"/>
      <c r="B80" s="45">
        <f>COUNTIF('JULHO  2026'!E11:E603,'0408030'!A89)+COUNTIF('JULHO  2026'!E605:E1029,'0408030'!A89)</f>
        <v>0</v>
      </c>
      <c r="C80" s="45"/>
      <c r="D80" s="45"/>
      <c r="E80" s="45"/>
      <c r="F80" s="45"/>
      <c r="G80" s="45"/>
    </row>
    <row r="81" ht="15.75" customHeight="1">
      <c r="A81" s="45"/>
      <c r="B81" s="45">
        <f>COUNTIF('JULHO  2026'!E11:E603,'0408030'!A90)+COUNTIF('JULHO  2026'!E605:E1029,'0408030'!A90)</f>
        <v>0</v>
      </c>
      <c r="C81" s="45"/>
      <c r="D81" s="45"/>
      <c r="E81" s="45"/>
      <c r="F81" s="45"/>
      <c r="G81" s="45"/>
    </row>
    <row r="82" ht="15.75" customHeight="1">
      <c r="A82" s="45"/>
      <c r="B82" s="45">
        <f>COUNTIF('JULHO  2026'!E11:E603,'0408030'!A91)+COUNTIF('JULHO  2026'!E605:E1029,'0408030'!A91)</f>
        <v>0</v>
      </c>
      <c r="C82" s="45"/>
      <c r="D82" s="45"/>
      <c r="E82" s="45"/>
      <c r="F82" s="45"/>
      <c r="G82" s="45"/>
    </row>
    <row r="83" ht="15.75" customHeight="1">
      <c r="A83" s="45"/>
      <c r="B83" s="45">
        <f>COUNTIF('JULHO  2026'!E11:E603,'0408030'!A92)+COUNTIF('JULHO  2026'!E605:E1029,'0408030'!A92)</f>
        <v>0</v>
      </c>
      <c r="C83" s="45"/>
      <c r="D83" s="45"/>
      <c r="E83" s="45"/>
      <c r="F83" s="45"/>
      <c r="G83" s="45"/>
    </row>
    <row r="84" ht="15.75" customHeight="1">
      <c r="A84" s="45"/>
      <c r="B84" s="45">
        <f>COUNTIF('JULHO  2026'!E11:E603,'0408030'!A93)+COUNTIF('JULHO  2026'!E605:E1029,'0408030'!A93)</f>
        <v>0</v>
      </c>
      <c r="C84" s="45"/>
      <c r="D84" s="45"/>
      <c r="E84" s="45"/>
      <c r="F84" s="45"/>
      <c r="G84" s="45"/>
    </row>
    <row r="85" ht="15.75" customHeight="1">
      <c r="A85" s="45"/>
      <c r="B85" s="45">
        <f>COUNTIF('JULHO  2026'!E11:E603,'0408030'!A94)+COUNTIF('JULHO  2026'!E605:E1029,'0408030'!A94)</f>
        <v>0</v>
      </c>
      <c r="C85" s="45"/>
      <c r="D85" s="45"/>
      <c r="E85" s="45"/>
      <c r="F85" s="45"/>
      <c r="G85" s="45"/>
    </row>
    <row r="86" ht="15.75" customHeight="1">
      <c r="A86" s="45"/>
      <c r="B86" s="45">
        <f>COUNTIF('JULHO  2026'!E11:E603,'0408030'!A95)+COUNTIF('JULHO  2026'!E605:E1029,'0408030'!A95)</f>
        <v>0</v>
      </c>
      <c r="C86" s="45"/>
      <c r="D86" s="45"/>
      <c r="E86" s="45"/>
      <c r="F86" s="45"/>
      <c r="G86" s="45"/>
    </row>
    <row r="87" ht="15.75" customHeight="1">
      <c r="A87" s="45"/>
      <c r="B87" s="45">
        <f>COUNTIF('JULHO  2026'!E11:E603,'0408030'!A96)+COUNTIF('JULHO  2026'!E605:E1029,'0408030'!A96)</f>
        <v>0</v>
      </c>
      <c r="C87" s="45"/>
      <c r="D87" s="45"/>
      <c r="E87" s="45"/>
      <c r="F87" s="45"/>
      <c r="G87" s="45"/>
    </row>
    <row r="88" ht="15.75" customHeight="1">
      <c r="A88" s="45"/>
      <c r="B88" s="45">
        <f>COUNTIF('JULHO  2026'!E11:E603,'0408030'!A97)+COUNTIF('JULHO  2026'!E605:E1029,'0408030'!A97)</f>
        <v>0</v>
      </c>
      <c r="C88" s="45"/>
      <c r="D88" s="45"/>
      <c r="E88" s="45"/>
      <c r="F88" s="45"/>
      <c r="G88" s="45"/>
    </row>
    <row r="89" ht="15.75" customHeight="1">
      <c r="A89" s="45"/>
      <c r="B89" s="45">
        <f>COUNTIF('JULHO  2026'!E11:E603,'0408030'!A98)+COUNTIF('JULHO  2026'!E605:E1029,'0408030'!A98)</f>
        <v>0</v>
      </c>
      <c r="C89" s="45"/>
      <c r="D89" s="45"/>
      <c r="E89" s="45"/>
      <c r="F89" s="45"/>
      <c r="G89" s="45"/>
    </row>
    <row r="90" ht="15.75" customHeight="1">
      <c r="A90" s="45"/>
      <c r="B90" s="45">
        <f>COUNTIF('JULHO  2026'!E11:E603,'0408030'!A99)+COUNTIF('JULHO  2026'!E605:E1029,'0408030'!A99)</f>
        <v>0</v>
      </c>
      <c r="C90" s="45"/>
      <c r="D90" s="45"/>
      <c r="E90" s="45"/>
      <c r="F90" s="45"/>
      <c r="G90" s="45"/>
    </row>
    <row r="91" ht="15.75" customHeight="1">
      <c r="A91" s="45"/>
      <c r="B91" s="45">
        <f>COUNTIF('JULHO  2026'!E11:E603,'0408030'!A100)+COUNTIF('JULHO  2026'!E605:E1029,'0408030'!A100)</f>
        <v>0</v>
      </c>
      <c r="C91" s="45"/>
      <c r="D91" s="45"/>
      <c r="E91" s="45"/>
      <c r="F91" s="45"/>
      <c r="G91" s="45"/>
    </row>
    <row r="92" ht="15.75" customHeight="1">
      <c r="A92" s="45"/>
      <c r="B92" s="45">
        <f>COUNTIF('JULHO  2026'!E11:E603,'0408030'!A101)+COUNTIF('JULHO  2026'!E605:E1029,'0408030'!A101)</f>
        <v>0</v>
      </c>
      <c r="C92" s="45"/>
      <c r="D92" s="45"/>
      <c r="E92" s="45"/>
      <c r="F92" s="45"/>
      <c r="G92" s="45"/>
    </row>
    <row r="93" ht="15.75" customHeight="1">
      <c r="A93" s="45"/>
      <c r="B93" s="45">
        <f>COUNTIF('JULHO  2026'!E11:E603,'0408030'!A102)+COUNTIF('JULHO  2026'!E605:E1029,'0408030'!A102)</f>
        <v>0</v>
      </c>
      <c r="C93" s="45"/>
      <c r="D93" s="45"/>
      <c r="E93" s="45"/>
      <c r="F93" s="45"/>
      <c r="G93" s="45"/>
    </row>
    <row r="94" ht="15.75" customHeight="1">
      <c r="A94" s="45"/>
      <c r="B94" s="45">
        <f>COUNTIF('JULHO  2026'!E11:E603,'0408030'!A103)+COUNTIF('JULHO  2026'!E605:E1029,'0408030'!A103)</f>
        <v>0</v>
      </c>
      <c r="C94" s="45"/>
      <c r="D94" s="45"/>
      <c r="E94" s="45"/>
      <c r="F94" s="45"/>
      <c r="G94" s="45"/>
    </row>
    <row r="95" ht="15.75" customHeight="1">
      <c r="A95" s="45"/>
      <c r="B95" s="45">
        <f>COUNTIF('JULHO  2026'!E11:E603,'0408030'!A104)+COUNTIF('JULHO  2026'!E605:E1029,'0408030'!A104)</f>
        <v>0</v>
      </c>
      <c r="C95" s="45"/>
      <c r="D95" s="45"/>
      <c r="E95" s="45"/>
      <c r="F95" s="45"/>
      <c r="G95" s="45"/>
    </row>
    <row r="96" ht="15.75" customHeight="1">
      <c r="A96" s="45"/>
      <c r="B96" s="45"/>
      <c r="C96" s="45"/>
      <c r="D96" s="45"/>
      <c r="E96" s="45"/>
      <c r="F96" s="45"/>
      <c r="G96" s="45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43"/>
    <col customWidth="1" min="3" max="3" width="13.43"/>
    <col customWidth="1" min="4" max="4" width="46.43"/>
    <col customWidth="1" min="5" max="5" width="29.43"/>
    <col customWidth="1" min="6" max="6" width="17.29"/>
    <col customWidth="1" min="7" max="26" width="8.71"/>
  </cols>
  <sheetData>
    <row r="1">
      <c r="A1" s="11"/>
      <c r="B1" s="11"/>
      <c r="C1" s="11"/>
      <c r="D1" s="11"/>
      <c r="E1" s="11"/>
    </row>
    <row r="2">
      <c r="A2" s="11"/>
      <c r="B2" s="11"/>
      <c r="C2" s="11"/>
      <c r="D2" s="11"/>
      <c r="E2" s="11"/>
    </row>
    <row r="3">
      <c r="A3" s="11"/>
      <c r="B3" s="11"/>
      <c r="C3" s="11"/>
      <c r="D3" s="11"/>
      <c r="E3" s="11"/>
    </row>
    <row r="4">
      <c r="A4" s="11"/>
      <c r="B4" s="11"/>
      <c r="C4" s="11"/>
      <c r="D4" s="11"/>
      <c r="E4" s="11"/>
    </row>
    <row r="5">
      <c r="A5" s="11"/>
      <c r="B5" s="11"/>
      <c r="C5" s="11"/>
      <c r="D5" s="11"/>
      <c r="E5" s="11"/>
    </row>
    <row r="6">
      <c r="A6" s="11"/>
      <c r="B6" s="11"/>
      <c r="C6" s="141"/>
      <c r="D6" s="141" t="s">
        <v>578</v>
      </c>
      <c r="E6" s="144">
        <v>46251.0</v>
      </c>
    </row>
    <row r="7">
      <c r="A7" s="11"/>
      <c r="B7" s="11"/>
      <c r="C7" s="11"/>
      <c r="D7" s="11" t="s">
        <v>581</v>
      </c>
      <c r="E7" s="11"/>
    </row>
    <row r="8">
      <c r="A8" s="11"/>
      <c r="B8" s="11"/>
      <c r="C8" s="11"/>
      <c r="D8" s="11"/>
      <c r="E8" s="11"/>
    </row>
    <row r="9">
      <c r="A9" s="32">
        <v>1.0</v>
      </c>
      <c r="B9" s="145">
        <v>46209.0</v>
      </c>
      <c r="C9" s="133">
        <v>2.0302022E7</v>
      </c>
      <c r="D9" s="146" t="s">
        <v>582</v>
      </c>
      <c r="E9" s="133" t="s">
        <v>583</v>
      </c>
    </row>
    <row r="10">
      <c r="A10" s="133">
        <v>2.0</v>
      </c>
      <c r="B10" s="145">
        <v>46220.0</v>
      </c>
      <c r="C10" s="133">
        <v>2.0398822E7</v>
      </c>
      <c r="D10" s="147" t="s">
        <v>584</v>
      </c>
      <c r="E10" s="133" t="s">
        <v>585</v>
      </c>
      <c r="F10" s="148" t="s">
        <v>586</v>
      </c>
    </row>
    <row r="11">
      <c r="A11" s="32">
        <v>3.0</v>
      </c>
      <c r="B11" s="150">
        <v>46223.0</v>
      </c>
      <c r="C11" s="32">
        <v>1.4749915E7</v>
      </c>
      <c r="D11" s="151" t="s">
        <v>587</v>
      </c>
      <c r="E11" s="133" t="s">
        <v>583</v>
      </c>
    </row>
    <row r="12">
      <c r="A12" s="133">
        <v>4.0</v>
      </c>
      <c r="B12" s="145">
        <v>46227.0</v>
      </c>
      <c r="C12" s="133">
        <v>1.5105216E7</v>
      </c>
      <c r="D12" s="147" t="s">
        <v>588</v>
      </c>
      <c r="E12" s="133" t="s">
        <v>583</v>
      </c>
      <c r="F12" s="148" t="s">
        <v>589</v>
      </c>
    </row>
    <row r="13">
      <c r="A13" s="32">
        <v>5.0</v>
      </c>
      <c r="B13" s="150">
        <v>46230.0</v>
      </c>
      <c r="C13" s="32">
        <v>2.0355533E7</v>
      </c>
      <c r="D13" s="151" t="s">
        <v>590</v>
      </c>
      <c r="E13" s="133" t="s">
        <v>583</v>
      </c>
    </row>
    <row r="14">
      <c r="A14" s="32">
        <v>6.0</v>
      </c>
      <c r="B14" s="150">
        <v>46231.0</v>
      </c>
      <c r="C14" s="32">
        <v>2.0662961E7</v>
      </c>
      <c r="D14" s="151" t="s">
        <v>591</v>
      </c>
      <c r="E14" s="153" t="s">
        <v>592</v>
      </c>
      <c r="J14" s="130">
        <v>13.0</v>
      </c>
    </row>
    <row r="15">
      <c r="A15" s="32">
        <v>7.0</v>
      </c>
      <c r="B15" s="150">
        <v>46233.0</v>
      </c>
      <c r="C15" s="32">
        <v>6004071.0</v>
      </c>
      <c r="D15" s="151" t="s">
        <v>595</v>
      </c>
      <c r="E15" s="153" t="s">
        <v>583</v>
      </c>
      <c r="J15" s="130">
        <v>11.0</v>
      </c>
    </row>
    <row r="16">
      <c r="A16" s="32"/>
      <c r="B16" s="150"/>
      <c r="C16" s="32"/>
      <c r="D16" s="151"/>
      <c r="E16" s="153"/>
      <c r="J16" s="130">
        <v>12.0</v>
      </c>
    </row>
    <row r="17">
      <c r="A17" s="11"/>
      <c r="B17" s="150"/>
      <c r="C17" s="32"/>
      <c r="D17" s="151"/>
      <c r="E17" s="133"/>
      <c r="J17" s="130">
        <v>13.0</v>
      </c>
    </row>
    <row r="18">
      <c r="A18" s="32"/>
      <c r="B18" s="150"/>
      <c r="C18" s="32"/>
      <c r="D18" s="151"/>
      <c r="E18" s="153"/>
      <c r="J18" s="130">
        <v>13.0</v>
      </c>
    </row>
    <row r="19">
      <c r="A19" s="32"/>
      <c r="B19" s="150"/>
      <c r="C19" s="32"/>
      <c r="D19" s="151"/>
      <c r="E19" s="153"/>
      <c r="J19" s="130">
        <v>13.0</v>
      </c>
    </row>
    <row r="20">
      <c r="A20" s="32"/>
      <c r="B20" s="150"/>
      <c r="C20" s="32"/>
      <c r="D20" s="151"/>
      <c r="E20" s="153"/>
      <c r="J20" s="130">
        <v>12.0</v>
      </c>
    </row>
    <row r="21" ht="15.75" customHeight="1">
      <c r="A21" s="32"/>
      <c r="B21" s="150"/>
      <c r="C21" s="32"/>
      <c r="D21" s="151"/>
      <c r="E21" s="153"/>
    </row>
    <row r="22" ht="15.75" customHeight="1">
      <c r="A22" s="32"/>
      <c r="B22" s="150"/>
      <c r="C22" s="32"/>
      <c r="D22" s="151"/>
      <c r="E22" s="153"/>
    </row>
    <row r="23" ht="15.75" customHeight="1">
      <c r="A23" s="32"/>
      <c r="B23" s="150"/>
      <c r="C23" s="32"/>
      <c r="D23" s="151"/>
      <c r="E23" s="37"/>
    </row>
    <row r="24" ht="15.75" hidden="1" customHeight="1">
      <c r="A24" s="32"/>
      <c r="B24" s="150"/>
      <c r="C24" s="32"/>
      <c r="D24" s="151"/>
      <c r="E24" s="153"/>
    </row>
    <row r="25" ht="15.75" hidden="1" customHeight="1">
      <c r="A25" s="32"/>
      <c r="B25" s="150"/>
      <c r="C25" s="32"/>
      <c r="D25" s="151"/>
      <c r="E25" s="153"/>
    </row>
    <row r="26" ht="15.75" customHeight="1">
      <c r="A26" s="11"/>
      <c r="B26" s="11"/>
      <c r="C26" s="11"/>
      <c r="D26" s="11"/>
      <c r="E26" s="11"/>
    </row>
    <row r="27" ht="15.75" customHeight="1">
      <c r="A27" s="11"/>
      <c r="B27" s="11"/>
      <c r="C27" s="11"/>
      <c r="D27" s="11"/>
      <c r="E27" s="11"/>
    </row>
    <row r="28" ht="15.75" customHeight="1">
      <c r="A28" s="11"/>
      <c r="B28" s="11"/>
      <c r="C28" s="11"/>
      <c r="D28" s="11"/>
      <c r="E28" s="11"/>
    </row>
    <row r="29" ht="15.75" customHeight="1">
      <c r="A29" s="11"/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41"/>
      <c r="D34" s="141" t="s">
        <v>596</v>
      </c>
      <c r="E34" s="144">
        <v>46191.0</v>
      </c>
    </row>
    <row r="35" ht="15.75" customHeight="1">
      <c r="A35" s="11"/>
      <c r="B35" s="11"/>
      <c r="C35" s="11"/>
      <c r="D35" s="11" t="s">
        <v>581</v>
      </c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32">
        <v>1.0</v>
      </c>
      <c r="B37" s="145">
        <v>46143.0</v>
      </c>
      <c r="C37" s="133">
        <v>1.0714434E7</v>
      </c>
      <c r="D37" s="146" t="s">
        <v>597</v>
      </c>
      <c r="E37" s="133" t="s">
        <v>585</v>
      </c>
    </row>
    <row r="38" ht="15.75" customHeight="1">
      <c r="A38" s="32">
        <v>2.0</v>
      </c>
      <c r="B38" s="150">
        <v>46148.0</v>
      </c>
      <c r="C38" s="32">
        <v>1.7472911E7</v>
      </c>
      <c r="D38" s="151" t="s">
        <v>598</v>
      </c>
      <c r="E38" s="133" t="s">
        <v>599</v>
      </c>
    </row>
    <row r="39" ht="15.75" customHeight="1">
      <c r="A39" s="32">
        <v>3.0</v>
      </c>
      <c r="B39" s="150">
        <v>46158.0</v>
      </c>
      <c r="C39" s="32">
        <v>1.917887E7</v>
      </c>
      <c r="D39" s="151" t="s">
        <v>600</v>
      </c>
      <c r="E39" s="157" t="s">
        <v>601</v>
      </c>
    </row>
    <row r="40" ht="15.75" customHeight="1">
      <c r="A40" s="32">
        <v>4.0</v>
      </c>
      <c r="B40" s="150">
        <v>46159.0</v>
      </c>
      <c r="C40" s="32">
        <v>1.9460773E7</v>
      </c>
      <c r="D40" s="151" t="s">
        <v>602</v>
      </c>
      <c r="E40" s="153" t="s">
        <v>599</v>
      </c>
    </row>
    <row r="41" ht="15.75" customHeight="1">
      <c r="A41" s="32">
        <v>5.0</v>
      </c>
      <c r="B41" s="150">
        <v>46160.0</v>
      </c>
      <c r="C41" s="32">
        <v>1.8896357E7</v>
      </c>
      <c r="D41" s="151" t="s">
        <v>603</v>
      </c>
      <c r="E41" s="153" t="s">
        <v>583</v>
      </c>
    </row>
    <row r="42" ht="15.75" customHeight="1">
      <c r="A42" s="32">
        <v>6.0</v>
      </c>
      <c r="B42" s="150">
        <v>46172.0</v>
      </c>
      <c r="C42" s="32">
        <v>1.5437825E7</v>
      </c>
      <c r="D42" s="151" t="s">
        <v>604</v>
      </c>
      <c r="E42" s="153" t="s">
        <v>601</v>
      </c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41"/>
      <c r="D49" s="141" t="s">
        <v>596</v>
      </c>
      <c r="E49" s="144">
        <v>46190.0</v>
      </c>
    </row>
    <row r="50" ht="15.75" customHeight="1">
      <c r="A50" s="11"/>
      <c r="B50" s="11"/>
      <c r="C50" s="11"/>
      <c r="D50" s="11" t="s">
        <v>581</v>
      </c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32">
        <v>1.0</v>
      </c>
      <c r="B52" s="145">
        <v>46143.0</v>
      </c>
      <c r="C52" s="133">
        <v>1.0714434E7</v>
      </c>
      <c r="D52" s="146" t="s">
        <v>597</v>
      </c>
      <c r="E52" s="133" t="s">
        <v>585</v>
      </c>
    </row>
    <row r="53" ht="15.75" customHeight="1">
      <c r="A53" s="32">
        <v>2.0</v>
      </c>
      <c r="B53" s="150">
        <v>46148.0</v>
      </c>
      <c r="C53" s="32">
        <v>1.7472911E7</v>
      </c>
      <c r="D53" s="151" t="s">
        <v>598</v>
      </c>
      <c r="E53" s="133" t="s">
        <v>599</v>
      </c>
    </row>
    <row r="54" ht="15.75" customHeight="1">
      <c r="A54" s="32">
        <v>3.0</v>
      </c>
      <c r="B54" s="150">
        <v>46157.0</v>
      </c>
      <c r="C54" s="32"/>
      <c r="D54" s="151"/>
      <c r="E54" s="133" t="s">
        <v>583</v>
      </c>
    </row>
    <row r="55" ht="15.75" customHeight="1">
      <c r="A55" s="32">
        <v>4.0</v>
      </c>
      <c r="B55" s="150">
        <v>46157.0</v>
      </c>
      <c r="C55" s="32"/>
      <c r="D55" s="151"/>
      <c r="E55" s="133" t="s">
        <v>583</v>
      </c>
    </row>
    <row r="56" ht="15.75" customHeight="1">
      <c r="A56" s="32">
        <v>5.0</v>
      </c>
      <c r="B56" s="150">
        <v>46158.0</v>
      </c>
      <c r="C56" s="32">
        <v>1.917887E7</v>
      </c>
      <c r="D56" s="151" t="s">
        <v>600</v>
      </c>
      <c r="E56" s="157" t="s">
        <v>601</v>
      </c>
    </row>
    <row r="57" ht="15.75" customHeight="1">
      <c r="A57" s="32">
        <v>6.0</v>
      </c>
      <c r="B57" s="150">
        <v>46159.0</v>
      </c>
      <c r="C57" s="32">
        <v>1.9460773E7</v>
      </c>
      <c r="D57" s="151" t="s">
        <v>602</v>
      </c>
      <c r="E57" s="153" t="s">
        <v>599</v>
      </c>
    </row>
    <row r="58" ht="15.75" customHeight="1">
      <c r="A58" s="32">
        <v>7.0</v>
      </c>
      <c r="B58" s="150">
        <v>46160.0</v>
      </c>
      <c r="C58" s="32">
        <v>1.8896357E7</v>
      </c>
      <c r="D58" s="151" t="s">
        <v>603</v>
      </c>
      <c r="E58" s="153" t="s">
        <v>583</v>
      </c>
    </row>
    <row r="59" ht="15.75" customHeight="1">
      <c r="A59" s="32">
        <v>8.0</v>
      </c>
      <c r="B59" s="150">
        <v>46162.0</v>
      </c>
      <c r="C59" s="32"/>
      <c r="D59" s="151"/>
      <c r="E59" s="153" t="s">
        <v>583</v>
      </c>
    </row>
    <row r="60" ht="15.75" customHeight="1">
      <c r="A60" s="32">
        <v>9.0</v>
      </c>
      <c r="B60" s="150">
        <v>46164.0</v>
      </c>
      <c r="C60" s="32"/>
      <c r="D60" s="151"/>
      <c r="E60" s="133" t="s">
        <v>585</v>
      </c>
    </row>
    <row r="61" ht="15.75" customHeight="1">
      <c r="A61" s="32">
        <v>10.0</v>
      </c>
      <c r="B61" s="150">
        <v>46168.0</v>
      </c>
      <c r="C61" s="32"/>
      <c r="D61" s="151"/>
      <c r="E61" s="153" t="s">
        <v>607</v>
      </c>
    </row>
    <row r="62" ht="15.75" customHeight="1">
      <c r="A62" s="32">
        <v>11.0</v>
      </c>
      <c r="B62" s="150">
        <v>46169.0</v>
      </c>
      <c r="C62" s="32"/>
      <c r="D62" s="151"/>
      <c r="E62" s="153" t="s">
        <v>608</v>
      </c>
    </row>
    <row r="63" ht="15.75" customHeight="1">
      <c r="A63" s="32">
        <v>12.0</v>
      </c>
      <c r="B63" s="150">
        <v>46170.0</v>
      </c>
      <c r="C63" s="32"/>
      <c r="D63" s="151"/>
      <c r="E63" s="153" t="s">
        <v>583</v>
      </c>
    </row>
    <row r="64" ht="15.75" customHeight="1">
      <c r="A64" s="32">
        <v>13.0</v>
      </c>
      <c r="B64" s="150">
        <v>46172.0</v>
      </c>
      <c r="C64" s="32">
        <v>1.5437825E7</v>
      </c>
      <c r="D64" s="151" t="s">
        <v>604</v>
      </c>
      <c r="E64" s="153" t="s">
        <v>601</v>
      </c>
    </row>
    <row r="65" ht="15.75" customHeight="1">
      <c r="A65" s="32">
        <v>14.0</v>
      </c>
      <c r="B65" s="150" t="s">
        <v>609</v>
      </c>
      <c r="C65" s="32"/>
      <c r="D65" s="151"/>
      <c r="E65" s="153" t="s">
        <v>601</v>
      </c>
    </row>
    <row r="66" ht="15.75" customHeight="1">
      <c r="A66" s="32">
        <v>15.0</v>
      </c>
      <c r="B66" s="150" t="s">
        <v>610</v>
      </c>
      <c r="C66" s="32">
        <v>1.3469093E7</v>
      </c>
      <c r="D66" s="151" t="s">
        <v>611</v>
      </c>
      <c r="E66" s="37" t="s">
        <v>583</v>
      </c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>
      <c r="A396" s="11"/>
      <c r="B396" s="11"/>
      <c r="C396" s="11"/>
      <c r="D396" s="11"/>
      <c r="E396" s="11"/>
    </row>
    <row r="397" ht="15.75" customHeight="1">
      <c r="A397" s="11"/>
      <c r="B397" s="11"/>
      <c r="C397" s="11"/>
      <c r="D397" s="11"/>
      <c r="E397" s="11"/>
    </row>
    <row r="398" ht="15.75" customHeight="1">
      <c r="A398" s="11"/>
      <c r="B398" s="11"/>
      <c r="C398" s="11"/>
      <c r="D398" s="11"/>
      <c r="E398" s="11"/>
    </row>
    <row r="399" ht="15.75" customHeight="1">
      <c r="A399" s="11"/>
      <c r="B399" s="11"/>
      <c r="C399" s="11"/>
      <c r="D399" s="11"/>
      <c r="E399" s="11"/>
    </row>
    <row r="400" ht="15.75" customHeight="1">
      <c r="A400" s="11"/>
      <c r="B400" s="11"/>
      <c r="C400" s="11"/>
      <c r="D400" s="11"/>
      <c r="E400" s="11"/>
    </row>
    <row r="401" ht="15.75" customHeight="1">
      <c r="A401" s="11"/>
      <c r="B401" s="11"/>
      <c r="C401" s="11"/>
      <c r="D401" s="11"/>
      <c r="E401" s="11"/>
    </row>
    <row r="402" ht="15.75" customHeight="1">
      <c r="A402" s="11"/>
      <c r="B402" s="11"/>
      <c r="C402" s="11"/>
      <c r="D402" s="11"/>
      <c r="E402" s="11"/>
    </row>
    <row r="403" ht="15.75" customHeight="1">
      <c r="A403" s="11"/>
      <c r="B403" s="11"/>
      <c r="C403" s="11"/>
      <c r="D403" s="11"/>
      <c r="E403" s="11"/>
    </row>
    <row r="404" ht="15.75" customHeight="1">
      <c r="A404" s="11"/>
      <c r="B404" s="11"/>
      <c r="C404" s="11"/>
      <c r="D404" s="11"/>
      <c r="E404" s="11"/>
    </row>
    <row r="405" ht="15.75" customHeight="1">
      <c r="A405" s="11"/>
      <c r="B405" s="11"/>
      <c r="C405" s="11"/>
      <c r="D405" s="11"/>
      <c r="E405" s="11"/>
    </row>
    <row r="406" ht="15.75" customHeight="1">
      <c r="A406" s="11"/>
      <c r="B406" s="11"/>
      <c r="C406" s="11"/>
      <c r="D406" s="11"/>
      <c r="E406" s="11"/>
    </row>
    <row r="407" ht="15.75" customHeight="1">
      <c r="A407" s="11"/>
      <c r="B407" s="11"/>
      <c r="C407" s="11"/>
      <c r="D407" s="11"/>
      <c r="E407" s="11"/>
    </row>
    <row r="408" ht="15.75" customHeight="1">
      <c r="A408" s="11"/>
      <c r="B408" s="11"/>
      <c r="C408" s="11"/>
      <c r="D408" s="11"/>
      <c r="E408" s="11"/>
    </row>
    <row r="409" ht="15.75" customHeight="1">
      <c r="A409" s="11"/>
      <c r="B409" s="11"/>
      <c r="C409" s="11"/>
      <c r="D409" s="11"/>
      <c r="E409" s="11"/>
    </row>
    <row r="410" ht="15.75" customHeight="1">
      <c r="A410" s="11"/>
      <c r="B410" s="11"/>
      <c r="C410" s="11"/>
      <c r="D410" s="11"/>
      <c r="E410" s="11"/>
    </row>
    <row r="411" ht="15.75" customHeight="1">
      <c r="A411" s="11"/>
      <c r="B411" s="11"/>
      <c r="C411" s="11"/>
      <c r="D411" s="11"/>
      <c r="E411" s="11"/>
    </row>
    <row r="412" ht="15.75" customHeight="1">
      <c r="A412" s="11"/>
      <c r="B412" s="11"/>
      <c r="C412" s="11"/>
      <c r="D412" s="11"/>
      <c r="E412" s="11"/>
    </row>
    <row r="413" ht="15.75" customHeight="1">
      <c r="A413" s="11"/>
      <c r="B413" s="11"/>
      <c r="C413" s="11"/>
      <c r="D413" s="11"/>
      <c r="E413" s="11"/>
    </row>
    <row r="414" ht="15.75" customHeight="1">
      <c r="A414" s="11"/>
      <c r="B414" s="11"/>
      <c r="C414" s="11"/>
      <c r="D414" s="11"/>
      <c r="E414" s="11"/>
    </row>
    <row r="415" ht="15.75" customHeight="1">
      <c r="A415" s="11"/>
      <c r="B415" s="11"/>
      <c r="C415" s="11"/>
      <c r="D415" s="11"/>
      <c r="E415" s="11"/>
    </row>
    <row r="416" ht="15.75" customHeight="1">
      <c r="A416" s="11"/>
      <c r="B416" s="11"/>
      <c r="C416" s="11"/>
      <c r="D416" s="11"/>
      <c r="E416" s="11"/>
    </row>
    <row r="417" ht="15.75" customHeight="1">
      <c r="A417" s="11"/>
      <c r="B417" s="11"/>
      <c r="C417" s="11"/>
      <c r="D417" s="11"/>
      <c r="E417" s="11"/>
    </row>
    <row r="418" ht="15.75" customHeight="1">
      <c r="A418" s="11"/>
      <c r="B418" s="11"/>
      <c r="C418" s="11"/>
      <c r="D418" s="11"/>
      <c r="E418" s="11"/>
    </row>
    <row r="419" ht="15.75" customHeight="1">
      <c r="A419" s="11"/>
      <c r="B419" s="11"/>
      <c r="C419" s="11"/>
      <c r="D419" s="11"/>
      <c r="E419" s="11"/>
    </row>
    <row r="420" ht="15.75" customHeight="1">
      <c r="A420" s="11"/>
      <c r="B420" s="11"/>
      <c r="C420" s="11"/>
      <c r="D420" s="11"/>
      <c r="E420" s="11"/>
    </row>
    <row r="421" ht="15.75" customHeight="1">
      <c r="A421" s="11"/>
      <c r="B421" s="11"/>
      <c r="C421" s="11"/>
      <c r="D421" s="11"/>
      <c r="E421" s="11"/>
    </row>
    <row r="422" ht="15.75" customHeight="1">
      <c r="A422" s="11"/>
      <c r="B422" s="11"/>
      <c r="C422" s="11"/>
      <c r="D422" s="11"/>
      <c r="E422" s="11"/>
    </row>
    <row r="423" ht="15.75" customHeight="1">
      <c r="A423" s="11"/>
      <c r="B423" s="11"/>
      <c r="C423" s="11"/>
      <c r="D423" s="11"/>
      <c r="E423" s="11"/>
    </row>
    <row r="424" ht="15.75" customHeight="1">
      <c r="A424" s="11"/>
      <c r="B424" s="11"/>
      <c r="C424" s="11"/>
      <c r="D424" s="11"/>
      <c r="E424" s="11"/>
    </row>
    <row r="425" ht="15.75" customHeight="1">
      <c r="A425" s="11"/>
      <c r="B425" s="11"/>
      <c r="C425" s="11"/>
      <c r="D425" s="11"/>
      <c r="E425" s="11"/>
    </row>
    <row r="426" ht="15.75" customHeight="1">
      <c r="A426" s="11"/>
      <c r="B426" s="11"/>
      <c r="C426" s="11"/>
      <c r="D426" s="11"/>
      <c r="E426" s="11"/>
    </row>
    <row r="427" ht="15.75" customHeight="1">
      <c r="A427" s="11"/>
      <c r="B427" s="11"/>
      <c r="C427" s="11"/>
      <c r="D427" s="11"/>
      <c r="E427" s="11"/>
    </row>
    <row r="428" ht="15.75" customHeight="1">
      <c r="A428" s="11"/>
      <c r="B428" s="11"/>
      <c r="C428" s="11"/>
      <c r="D428" s="11"/>
      <c r="E428" s="11"/>
    </row>
    <row r="429" ht="15.75" customHeight="1">
      <c r="A429" s="11"/>
      <c r="B429" s="11"/>
      <c r="C429" s="11"/>
      <c r="D429" s="11"/>
      <c r="E429" s="11"/>
    </row>
    <row r="430" ht="15.75" customHeight="1">
      <c r="A430" s="11"/>
      <c r="B430" s="11"/>
      <c r="C430" s="11"/>
      <c r="D430" s="11"/>
      <c r="E430" s="11"/>
    </row>
    <row r="431" ht="15.75" customHeight="1">
      <c r="A431" s="11"/>
      <c r="B431" s="11"/>
      <c r="C431" s="11"/>
      <c r="D431" s="11"/>
      <c r="E431" s="11"/>
    </row>
    <row r="432" ht="15.75" customHeight="1">
      <c r="A432" s="11"/>
      <c r="B432" s="11"/>
      <c r="C432" s="11"/>
      <c r="D432" s="11"/>
      <c r="E432" s="11"/>
    </row>
    <row r="433" ht="15.75" customHeight="1">
      <c r="A433" s="11"/>
      <c r="B433" s="11"/>
      <c r="C433" s="11"/>
      <c r="D433" s="11"/>
      <c r="E433" s="11"/>
    </row>
    <row r="434" ht="15.75" customHeight="1">
      <c r="A434" s="11"/>
      <c r="B434" s="11"/>
      <c r="C434" s="11"/>
      <c r="D434" s="11"/>
      <c r="E434" s="11"/>
    </row>
    <row r="435" ht="15.75" customHeight="1">
      <c r="A435" s="11"/>
      <c r="B435" s="11"/>
      <c r="C435" s="11"/>
      <c r="D435" s="11"/>
      <c r="E435" s="11"/>
    </row>
    <row r="436" ht="15.75" customHeight="1">
      <c r="A436" s="11"/>
      <c r="B436" s="11"/>
      <c r="C436" s="11"/>
      <c r="D436" s="11"/>
      <c r="E436" s="11"/>
    </row>
    <row r="437" ht="15.75" customHeight="1">
      <c r="A437" s="11"/>
      <c r="B437" s="11"/>
      <c r="C437" s="11"/>
      <c r="D437" s="11"/>
      <c r="E437" s="11"/>
    </row>
    <row r="438" ht="15.75" customHeight="1">
      <c r="A438" s="11"/>
      <c r="B438" s="11"/>
      <c r="C438" s="11"/>
      <c r="D438" s="11"/>
      <c r="E438" s="11"/>
    </row>
    <row r="439" ht="15.75" customHeight="1">
      <c r="A439" s="11"/>
      <c r="B439" s="11"/>
      <c r="C439" s="11"/>
      <c r="D439" s="11"/>
      <c r="E439" s="11"/>
    </row>
    <row r="440" ht="15.75" customHeight="1">
      <c r="A440" s="11"/>
      <c r="B440" s="11"/>
      <c r="C440" s="11"/>
      <c r="D440" s="11"/>
      <c r="E440" s="11"/>
    </row>
    <row r="441" ht="15.75" customHeight="1">
      <c r="A441" s="11"/>
      <c r="B441" s="11"/>
      <c r="C441" s="11"/>
      <c r="D441" s="11"/>
      <c r="E441" s="11"/>
    </row>
    <row r="442" ht="15.75" customHeight="1">
      <c r="A442" s="11"/>
      <c r="B442" s="11"/>
      <c r="C442" s="11"/>
      <c r="D442" s="11"/>
      <c r="E442" s="11"/>
    </row>
    <row r="443" ht="15.75" customHeight="1">
      <c r="A443" s="11"/>
      <c r="B443" s="11"/>
      <c r="C443" s="11"/>
      <c r="D443" s="11"/>
      <c r="E443" s="11"/>
    </row>
    <row r="444" ht="15.75" customHeight="1">
      <c r="A444" s="11"/>
      <c r="B444" s="11"/>
      <c r="C444" s="11"/>
      <c r="D444" s="11"/>
      <c r="E444" s="11"/>
    </row>
    <row r="445" ht="15.75" customHeight="1">
      <c r="A445" s="11"/>
      <c r="B445" s="11"/>
      <c r="C445" s="11"/>
      <c r="D445" s="11"/>
      <c r="E445" s="11"/>
    </row>
    <row r="446" ht="15.75" customHeight="1">
      <c r="A446" s="11"/>
      <c r="B446" s="11"/>
      <c r="C446" s="11"/>
      <c r="D446" s="11"/>
      <c r="E446" s="11"/>
    </row>
    <row r="447" ht="15.75" customHeight="1">
      <c r="A447" s="11"/>
      <c r="B447" s="11"/>
      <c r="C447" s="11"/>
      <c r="D447" s="11"/>
      <c r="E447" s="11"/>
    </row>
    <row r="448" ht="15.75" customHeight="1">
      <c r="A448" s="11"/>
      <c r="B448" s="11"/>
      <c r="C448" s="11"/>
      <c r="D448" s="11"/>
      <c r="E448" s="11"/>
    </row>
    <row r="449" ht="15.75" customHeight="1">
      <c r="A449" s="11"/>
      <c r="B449" s="11"/>
      <c r="C449" s="11"/>
      <c r="D449" s="11"/>
      <c r="E449" s="11"/>
    </row>
    <row r="450" ht="15.75" customHeight="1">
      <c r="A450" s="11"/>
      <c r="B450" s="11"/>
      <c r="C450" s="11"/>
      <c r="D450" s="11"/>
      <c r="E450" s="11"/>
    </row>
    <row r="451" ht="15.75" customHeight="1">
      <c r="A451" s="11"/>
      <c r="B451" s="11"/>
      <c r="C451" s="11"/>
      <c r="D451" s="11"/>
      <c r="E451" s="11"/>
    </row>
    <row r="452" ht="15.75" customHeight="1">
      <c r="A452" s="11"/>
      <c r="B452" s="11"/>
      <c r="C452" s="11"/>
      <c r="D452" s="11"/>
      <c r="E452" s="11"/>
    </row>
    <row r="453" ht="15.75" customHeight="1">
      <c r="A453" s="11"/>
      <c r="B453" s="11"/>
      <c r="C453" s="11"/>
      <c r="D453" s="11"/>
      <c r="E453" s="11"/>
    </row>
    <row r="454" ht="15.75" customHeight="1">
      <c r="A454" s="11"/>
      <c r="B454" s="11"/>
      <c r="C454" s="11"/>
      <c r="D454" s="11"/>
      <c r="E454" s="11"/>
    </row>
    <row r="455" ht="15.75" customHeight="1">
      <c r="A455" s="11"/>
      <c r="B455" s="11"/>
      <c r="C455" s="11"/>
      <c r="D455" s="11"/>
      <c r="E455" s="11"/>
    </row>
    <row r="456" ht="15.75" customHeight="1">
      <c r="A456" s="11"/>
      <c r="B456" s="11"/>
      <c r="C456" s="11"/>
      <c r="D456" s="11"/>
      <c r="E456" s="11"/>
    </row>
    <row r="457" ht="15.75" customHeight="1">
      <c r="A457" s="11"/>
      <c r="B457" s="11"/>
      <c r="C457" s="11"/>
      <c r="D457" s="11"/>
      <c r="E457" s="11"/>
    </row>
    <row r="458" ht="15.75" customHeight="1">
      <c r="A458" s="11"/>
      <c r="B458" s="11"/>
      <c r="C458" s="11"/>
      <c r="D458" s="11"/>
      <c r="E458" s="11"/>
    </row>
    <row r="459" ht="15.75" customHeight="1">
      <c r="A459" s="11"/>
      <c r="B459" s="11"/>
      <c r="C459" s="11"/>
      <c r="D459" s="11"/>
      <c r="E459" s="11"/>
    </row>
    <row r="460" ht="15.75" customHeight="1">
      <c r="A460" s="11"/>
      <c r="B460" s="11"/>
      <c r="C460" s="11"/>
      <c r="D460" s="11"/>
      <c r="E460" s="11"/>
    </row>
    <row r="461" ht="15.75" customHeight="1">
      <c r="A461" s="11"/>
      <c r="B461" s="11"/>
      <c r="C461" s="11"/>
      <c r="D461" s="11"/>
      <c r="E461" s="11"/>
    </row>
    <row r="462" ht="15.75" customHeight="1">
      <c r="A462" s="11"/>
      <c r="B462" s="11"/>
      <c r="C462" s="11"/>
      <c r="D462" s="11"/>
      <c r="E462" s="11"/>
    </row>
    <row r="463" ht="15.75" customHeight="1">
      <c r="A463" s="11"/>
      <c r="B463" s="11"/>
      <c r="C463" s="11"/>
      <c r="D463" s="11"/>
      <c r="E463" s="11"/>
    </row>
    <row r="464" ht="15.75" customHeight="1">
      <c r="A464" s="11"/>
      <c r="B464" s="11"/>
      <c r="C464" s="11"/>
      <c r="D464" s="11"/>
      <c r="E464" s="11"/>
    </row>
    <row r="465" ht="15.75" customHeight="1">
      <c r="A465" s="11"/>
      <c r="B465" s="11"/>
      <c r="C465" s="11"/>
      <c r="D465" s="11"/>
      <c r="E465" s="11"/>
    </row>
    <row r="466" ht="15.75" customHeight="1">
      <c r="A466" s="11"/>
      <c r="B466" s="11"/>
      <c r="C466" s="11"/>
      <c r="D466" s="11"/>
      <c r="E466" s="11"/>
    </row>
    <row r="467" ht="15.75" customHeight="1">
      <c r="A467" s="11"/>
      <c r="B467" s="11"/>
      <c r="C467" s="11"/>
      <c r="D467" s="11"/>
      <c r="E467" s="11"/>
    </row>
    <row r="468" ht="15.75" customHeight="1">
      <c r="A468" s="11"/>
      <c r="B468" s="11"/>
      <c r="C468" s="11"/>
      <c r="D468" s="11"/>
      <c r="E468" s="11"/>
    </row>
    <row r="469" ht="15.75" customHeight="1">
      <c r="A469" s="11"/>
      <c r="B469" s="11"/>
      <c r="C469" s="11"/>
      <c r="D469" s="11"/>
      <c r="E469" s="11"/>
    </row>
    <row r="470" ht="15.75" customHeight="1">
      <c r="A470" s="11"/>
      <c r="B470" s="11"/>
      <c r="C470" s="11"/>
      <c r="D470" s="11"/>
      <c r="E470" s="11"/>
    </row>
    <row r="471" ht="15.75" customHeight="1">
      <c r="A471" s="11"/>
      <c r="B471" s="11"/>
      <c r="C471" s="11"/>
      <c r="D471" s="11"/>
      <c r="E471" s="11"/>
    </row>
    <row r="472" ht="15.75" customHeight="1">
      <c r="A472" s="11"/>
      <c r="B472" s="11"/>
      <c r="C472" s="11"/>
      <c r="D472" s="11"/>
      <c r="E472" s="11"/>
    </row>
    <row r="473" ht="15.75" customHeight="1">
      <c r="A473" s="11"/>
      <c r="B473" s="11"/>
      <c r="C473" s="11"/>
      <c r="D473" s="11"/>
      <c r="E473" s="11"/>
    </row>
    <row r="474" ht="15.75" customHeight="1">
      <c r="A474" s="11"/>
      <c r="B474" s="11"/>
      <c r="C474" s="11"/>
      <c r="D474" s="11"/>
      <c r="E474" s="11"/>
    </row>
    <row r="475" ht="15.75" customHeight="1">
      <c r="A475" s="11"/>
      <c r="B475" s="11"/>
      <c r="C475" s="11"/>
      <c r="D475" s="11"/>
      <c r="E475" s="11"/>
    </row>
    <row r="476" ht="15.75" customHeight="1">
      <c r="A476" s="11"/>
      <c r="B476" s="11"/>
      <c r="C476" s="11"/>
      <c r="D476" s="11"/>
      <c r="E476" s="11"/>
    </row>
    <row r="477" ht="15.75" customHeight="1">
      <c r="A477" s="11"/>
      <c r="B477" s="11"/>
      <c r="C477" s="11"/>
      <c r="D477" s="11"/>
      <c r="E477" s="11"/>
    </row>
    <row r="478" ht="15.75" customHeight="1">
      <c r="A478" s="11"/>
      <c r="B478" s="11"/>
      <c r="C478" s="11"/>
      <c r="D478" s="11"/>
      <c r="E478" s="11"/>
    </row>
    <row r="479" ht="15.75" customHeight="1">
      <c r="A479" s="11"/>
      <c r="B479" s="11"/>
      <c r="C479" s="11"/>
      <c r="D479" s="11"/>
      <c r="E479" s="11"/>
    </row>
    <row r="480" ht="15.75" customHeight="1">
      <c r="A480" s="11"/>
      <c r="B480" s="11"/>
      <c r="C480" s="11"/>
      <c r="D480" s="11"/>
      <c r="E480" s="11"/>
    </row>
    <row r="481" ht="15.75" customHeight="1">
      <c r="A481" s="11"/>
      <c r="B481" s="11"/>
      <c r="C481" s="11"/>
      <c r="D481" s="11"/>
      <c r="E481" s="11"/>
    </row>
    <row r="482" ht="15.75" customHeight="1">
      <c r="A482" s="11"/>
      <c r="B482" s="11"/>
      <c r="C482" s="11"/>
      <c r="D482" s="11"/>
      <c r="E482" s="11"/>
    </row>
    <row r="483" ht="15.75" customHeight="1">
      <c r="A483" s="11"/>
      <c r="B483" s="11"/>
      <c r="C483" s="11"/>
      <c r="D483" s="11"/>
      <c r="E483" s="11"/>
    </row>
    <row r="484" ht="15.75" customHeight="1">
      <c r="A484" s="11"/>
      <c r="B484" s="11"/>
      <c r="C484" s="11"/>
      <c r="D484" s="11"/>
      <c r="E484" s="11"/>
    </row>
    <row r="485" ht="15.75" customHeight="1">
      <c r="A485" s="11"/>
      <c r="B485" s="11"/>
      <c r="C485" s="11"/>
      <c r="D485" s="11"/>
      <c r="E485" s="11"/>
    </row>
    <row r="486" ht="15.75" customHeight="1">
      <c r="A486" s="11"/>
      <c r="B486" s="11"/>
      <c r="C486" s="11"/>
      <c r="D486" s="11"/>
      <c r="E486" s="11"/>
    </row>
    <row r="487" ht="15.75" customHeight="1">
      <c r="A487" s="11"/>
      <c r="B487" s="11"/>
      <c r="C487" s="11"/>
      <c r="D487" s="11"/>
      <c r="E487" s="11"/>
    </row>
    <row r="488" ht="15.75" customHeight="1">
      <c r="A488" s="11"/>
      <c r="B488" s="11"/>
      <c r="C488" s="11"/>
      <c r="D488" s="11"/>
      <c r="E488" s="11"/>
    </row>
    <row r="489" ht="15.75" customHeight="1">
      <c r="A489" s="11"/>
      <c r="B489" s="11"/>
      <c r="C489" s="11"/>
      <c r="D489" s="11"/>
      <c r="E489" s="11"/>
    </row>
    <row r="490" ht="15.75" customHeight="1">
      <c r="A490" s="11"/>
      <c r="B490" s="11"/>
      <c r="C490" s="11"/>
      <c r="D490" s="11"/>
      <c r="E490" s="11"/>
    </row>
    <row r="491" ht="15.75" customHeight="1">
      <c r="A491" s="11"/>
      <c r="B491" s="11"/>
      <c r="C491" s="11"/>
      <c r="D491" s="11"/>
      <c r="E491" s="11"/>
    </row>
    <row r="492" ht="15.75" customHeight="1">
      <c r="A492" s="11"/>
      <c r="B492" s="11"/>
      <c r="C492" s="11"/>
      <c r="D492" s="11"/>
      <c r="E492" s="11"/>
    </row>
    <row r="493" ht="15.75" customHeight="1">
      <c r="A493" s="11"/>
      <c r="B493" s="11"/>
      <c r="C493" s="11"/>
      <c r="D493" s="11"/>
      <c r="E493" s="11"/>
    </row>
    <row r="494" ht="15.75" customHeight="1">
      <c r="A494" s="11"/>
      <c r="B494" s="11"/>
      <c r="C494" s="11"/>
      <c r="D494" s="11"/>
      <c r="E494" s="11"/>
    </row>
    <row r="495" ht="15.75" customHeight="1">
      <c r="A495" s="11"/>
      <c r="B495" s="11"/>
      <c r="C495" s="11"/>
      <c r="D495" s="11"/>
      <c r="E495" s="11"/>
    </row>
    <row r="496" ht="15.75" customHeight="1">
      <c r="A496" s="11"/>
      <c r="B496" s="11"/>
      <c r="C496" s="11"/>
      <c r="D496" s="11"/>
      <c r="E496" s="11"/>
    </row>
    <row r="497" ht="15.75" customHeight="1">
      <c r="A497" s="11"/>
      <c r="B497" s="11"/>
      <c r="C497" s="11"/>
      <c r="D497" s="11"/>
      <c r="E497" s="11"/>
    </row>
    <row r="498" ht="15.75" customHeight="1">
      <c r="A498" s="11"/>
      <c r="B498" s="11"/>
      <c r="C498" s="11"/>
      <c r="D498" s="11"/>
      <c r="E498" s="11"/>
    </row>
    <row r="499" ht="15.75" customHeight="1">
      <c r="A499" s="11"/>
      <c r="B499" s="11"/>
      <c r="C499" s="11"/>
      <c r="D499" s="11"/>
      <c r="E499" s="11"/>
    </row>
    <row r="500" ht="15.75" customHeight="1">
      <c r="A500" s="11"/>
      <c r="B500" s="11"/>
      <c r="C500" s="11"/>
      <c r="D500" s="11"/>
      <c r="E500" s="11"/>
    </row>
    <row r="501" ht="15.75" customHeight="1">
      <c r="A501" s="11"/>
      <c r="B501" s="11"/>
      <c r="C501" s="11"/>
      <c r="D501" s="11"/>
      <c r="E501" s="11"/>
    </row>
    <row r="502" ht="15.75" customHeight="1">
      <c r="A502" s="11"/>
      <c r="B502" s="11"/>
      <c r="C502" s="11"/>
      <c r="D502" s="11"/>
      <c r="E502" s="11"/>
    </row>
    <row r="503" ht="15.75" customHeight="1">
      <c r="A503" s="11"/>
      <c r="B503" s="11"/>
      <c r="C503" s="11"/>
      <c r="D503" s="11"/>
      <c r="E503" s="11"/>
    </row>
    <row r="504" ht="15.75" customHeight="1">
      <c r="A504" s="11"/>
      <c r="B504" s="11"/>
      <c r="C504" s="11"/>
      <c r="D504" s="11"/>
      <c r="E504" s="11"/>
    </row>
    <row r="505" ht="15.75" customHeight="1">
      <c r="A505" s="11"/>
      <c r="B505" s="11"/>
      <c r="C505" s="11"/>
      <c r="D505" s="11"/>
      <c r="E505" s="11"/>
    </row>
    <row r="506" ht="15.75" customHeight="1">
      <c r="A506" s="11"/>
      <c r="B506" s="11"/>
      <c r="C506" s="11"/>
      <c r="D506" s="11"/>
      <c r="E506" s="11"/>
    </row>
    <row r="507" ht="15.75" customHeight="1">
      <c r="A507" s="11"/>
      <c r="B507" s="11"/>
      <c r="C507" s="11"/>
      <c r="D507" s="11"/>
      <c r="E507" s="11"/>
    </row>
    <row r="508" ht="15.75" customHeight="1">
      <c r="A508" s="11"/>
      <c r="B508" s="11"/>
      <c r="C508" s="11"/>
      <c r="D508" s="11"/>
      <c r="E508" s="11"/>
    </row>
    <row r="509" ht="15.75" customHeight="1">
      <c r="A509" s="11"/>
      <c r="B509" s="11"/>
      <c r="C509" s="11"/>
      <c r="D509" s="11"/>
      <c r="E509" s="11"/>
    </row>
    <row r="510" ht="15.75" customHeight="1">
      <c r="A510" s="11"/>
      <c r="B510" s="11"/>
      <c r="C510" s="11"/>
      <c r="D510" s="11"/>
      <c r="E510" s="11"/>
    </row>
    <row r="511" ht="15.75" customHeight="1">
      <c r="A511" s="11"/>
      <c r="B511" s="11"/>
      <c r="C511" s="11"/>
      <c r="D511" s="11"/>
      <c r="E511" s="11"/>
    </row>
    <row r="512" ht="15.75" customHeight="1">
      <c r="A512" s="11"/>
      <c r="B512" s="11"/>
      <c r="C512" s="11"/>
      <c r="D512" s="11"/>
      <c r="E512" s="11"/>
    </row>
    <row r="513" ht="15.75" customHeight="1">
      <c r="A513" s="11"/>
      <c r="B513" s="11"/>
      <c r="C513" s="11"/>
      <c r="D513" s="11"/>
      <c r="E513" s="11"/>
    </row>
    <row r="514" ht="15.75" customHeight="1">
      <c r="A514" s="11"/>
      <c r="B514" s="11"/>
      <c r="C514" s="11"/>
      <c r="D514" s="11"/>
      <c r="E514" s="11"/>
    </row>
    <row r="515" ht="15.75" customHeight="1">
      <c r="A515" s="11"/>
      <c r="B515" s="11"/>
      <c r="C515" s="11"/>
      <c r="D515" s="11"/>
      <c r="E515" s="11"/>
    </row>
    <row r="516" ht="15.75" customHeight="1">
      <c r="A516" s="11"/>
      <c r="B516" s="11"/>
      <c r="C516" s="11"/>
      <c r="D516" s="11"/>
      <c r="E516" s="11"/>
    </row>
    <row r="517" ht="15.75" customHeight="1">
      <c r="A517" s="11"/>
      <c r="B517" s="11"/>
      <c r="C517" s="11"/>
      <c r="D517" s="11"/>
      <c r="E517" s="11"/>
    </row>
    <row r="518" ht="15.75" customHeight="1">
      <c r="A518" s="11"/>
      <c r="B518" s="11"/>
      <c r="C518" s="11"/>
      <c r="D518" s="11"/>
      <c r="E518" s="11"/>
    </row>
    <row r="519" ht="15.75" customHeight="1">
      <c r="A519" s="11"/>
      <c r="B519" s="11"/>
      <c r="C519" s="11"/>
      <c r="D519" s="11"/>
      <c r="E519" s="11"/>
    </row>
    <row r="520" ht="15.75" customHeight="1">
      <c r="A520" s="11"/>
      <c r="B520" s="11"/>
      <c r="C520" s="11"/>
      <c r="D520" s="11"/>
      <c r="E520" s="11"/>
    </row>
    <row r="521" ht="15.75" customHeight="1">
      <c r="A521" s="11"/>
      <c r="B521" s="11"/>
      <c r="C521" s="11"/>
      <c r="D521" s="11"/>
      <c r="E521" s="11"/>
    </row>
    <row r="522" ht="15.75" customHeight="1">
      <c r="A522" s="11"/>
      <c r="B522" s="11"/>
      <c r="C522" s="11"/>
      <c r="D522" s="11"/>
      <c r="E522" s="11"/>
    </row>
    <row r="523" ht="15.75" customHeight="1">
      <c r="A523" s="11"/>
      <c r="B523" s="11"/>
      <c r="C523" s="11"/>
      <c r="D523" s="11"/>
      <c r="E523" s="11"/>
    </row>
    <row r="524" ht="15.75" customHeight="1">
      <c r="A524" s="11"/>
      <c r="B524" s="11"/>
      <c r="C524" s="11"/>
      <c r="D524" s="11"/>
      <c r="E524" s="11"/>
    </row>
    <row r="525" ht="15.75" customHeight="1">
      <c r="A525" s="11"/>
      <c r="B525" s="11"/>
      <c r="C525" s="11"/>
      <c r="D525" s="11"/>
      <c r="E525" s="11"/>
    </row>
    <row r="526" ht="15.75" customHeight="1">
      <c r="A526" s="11"/>
      <c r="B526" s="11"/>
      <c r="C526" s="11"/>
      <c r="D526" s="11"/>
      <c r="E526" s="11"/>
    </row>
    <row r="527" ht="15.75" customHeight="1">
      <c r="A527" s="11"/>
      <c r="B527" s="11"/>
      <c r="C527" s="11"/>
      <c r="D527" s="11"/>
      <c r="E527" s="11"/>
    </row>
    <row r="528" ht="15.75" customHeight="1">
      <c r="A528" s="11"/>
      <c r="B528" s="11"/>
      <c r="C528" s="11"/>
      <c r="D528" s="11"/>
      <c r="E528" s="11"/>
    </row>
    <row r="529" ht="15.75" customHeight="1">
      <c r="A529" s="11"/>
      <c r="B529" s="11"/>
      <c r="C529" s="11"/>
      <c r="D529" s="11"/>
      <c r="E529" s="11"/>
    </row>
    <row r="530" ht="15.75" customHeight="1">
      <c r="A530" s="11"/>
      <c r="B530" s="11"/>
      <c r="C530" s="11"/>
      <c r="D530" s="11"/>
      <c r="E530" s="11"/>
    </row>
    <row r="531" ht="15.75" customHeight="1">
      <c r="A531" s="11"/>
      <c r="B531" s="11"/>
      <c r="C531" s="11"/>
      <c r="D531" s="11"/>
      <c r="E531" s="11"/>
    </row>
    <row r="532" ht="15.75" customHeight="1">
      <c r="A532" s="11"/>
      <c r="B532" s="11"/>
      <c r="C532" s="11"/>
      <c r="D532" s="11"/>
      <c r="E532" s="11"/>
    </row>
    <row r="533" ht="15.75" customHeight="1">
      <c r="A533" s="11"/>
      <c r="B533" s="11"/>
      <c r="C533" s="11"/>
      <c r="D533" s="11"/>
      <c r="E533" s="11"/>
    </row>
    <row r="534" ht="15.75" customHeight="1">
      <c r="A534" s="11"/>
      <c r="B534" s="11"/>
      <c r="C534" s="11"/>
      <c r="D534" s="11"/>
      <c r="E534" s="11"/>
    </row>
    <row r="535" ht="15.75" customHeight="1">
      <c r="A535" s="11"/>
      <c r="B535" s="11"/>
      <c r="C535" s="11"/>
      <c r="D535" s="11"/>
      <c r="E535" s="11"/>
    </row>
    <row r="536" ht="15.75" customHeight="1">
      <c r="A536" s="11"/>
      <c r="B536" s="11"/>
      <c r="C536" s="11"/>
      <c r="D536" s="11"/>
      <c r="E536" s="11"/>
    </row>
    <row r="537" ht="15.75" customHeight="1">
      <c r="A537" s="11"/>
      <c r="B537" s="11"/>
      <c r="C537" s="11"/>
      <c r="D537" s="11"/>
      <c r="E537" s="11"/>
    </row>
    <row r="538" ht="15.75" customHeight="1">
      <c r="A538" s="11"/>
      <c r="B538" s="11"/>
      <c r="C538" s="11"/>
      <c r="D538" s="11"/>
      <c r="E538" s="11"/>
    </row>
    <row r="539" ht="15.75" customHeight="1">
      <c r="A539" s="11"/>
      <c r="B539" s="11"/>
      <c r="C539" s="11"/>
      <c r="D539" s="11"/>
      <c r="E539" s="11"/>
    </row>
    <row r="540" ht="15.75" customHeight="1">
      <c r="A540" s="11"/>
      <c r="B540" s="11"/>
      <c r="C540" s="11"/>
      <c r="D540" s="11"/>
      <c r="E540" s="11"/>
    </row>
    <row r="541" ht="15.75" customHeight="1">
      <c r="A541" s="11"/>
      <c r="B541" s="11"/>
      <c r="C541" s="11"/>
      <c r="D541" s="11"/>
      <c r="E541" s="11"/>
    </row>
    <row r="542" ht="15.75" customHeight="1">
      <c r="A542" s="11"/>
      <c r="B542" s="11"/>
      <c r="C542" s="11"/>
      <c r="D542" s="11"/>
      <c r="E542" s="11"/>
    </row>
    <row r="543" ht="15.75" customHeight="1">
      <c r="A543" s="11"/>
      <c r="B543" s="11"/>
      <c r="C543" s="11"/>
      <c r="D543" s="11"/>
      <c r="E543" s="11"/>
    </row>
    <row r="544" ht="15.75" customHeight="1">
      <c r="A544" s="11"/>
      <c r="B544" s="11"/>
      <c r="C544" s="11"/>
      <c r="D544" s="11"/>
      <c r="E544" s="11"/>
    </row>
    <row r="545" ht="15.75" customHeight="1">
      <c r="A545" s="11"/>
      <c r="B545" s="11"/>
      <c r="C545" s="11"/>
      <c r="D545" s="11"/>
      <c r="E545" s="11"/>
    </row>
    <row r="546" ht="15.75" customHeight="1">
      <c r="A546" s="11"/>
      <c r="B546" s="11"/>
      <c r="C546" s="11"/>
      <c r="D546" s="11"/>
      <c r="E546" s="11"/>
    </row>
    <row r="547" ht="15.75" customHeight="1">
      <c r="A547" s="11"/>
      <c r="B547" s="11"/>
      <c r="C547" s="11"/>
      <c r="D547" s="11"/>
      <c r="E547" s="11"/>
    </row>
    <row r="548" ht="15.75" customHeight="1">
      <c r="A548" s="11"/>
      <c r="B548" s="11"/>
      <c r="C548" s="11"/>
      <c r="D548" s="11"/>
      <c r="E548" s="11"/>
    </row>
    <row r="549" ht="15.75" customHeight="1">
      <c r="A549" s="11"/>
      <c r="B549" s="11"/>
      <c r="C549" s="11"/>
      <c r="D549" s="11"/>
      <c r="E549" s="11"/>
    </row>
    <row r="550" ht="15.75" customHeight="1">
      <c r="A550" s="11"/>
      <c r="B550" s="11"/>
      <c r="C550" s="11"/>
      <c r="D550" s="11"/>
      <c r="E550" s="11"/>
    </row>
    <row r="551" ht="15.75" customHeight="1">
      <c r="A551" s="11"/>
      <c r="B551" s="11"/>
      <c r="C551" s="11"/>
      <c r="D551" s="11"/>
      <c r="E551" s="11"/>
    </row>
    <row r="552" ht="15.75" customHeight="1">
      <c r="A552" s="11"/>
      <c r="B552" s="11"/>
      <c r="C552" s="11"/>
      <c r="D552" s="11"/>
      <c r="E552" s="11"/>
    </row>
    <row r="553" ht="15.75" customHeight="1">
      <c r="A553" s="11"/>
      <c r="B553" s="11"/>
      <c r="C553" s="11"/>
      <c r="D553" s="11"/>
      <c r="E553" s="11"/>
    </row>
    <row r="554" ht="15.75" customHeight="1">
      <c r="A554" s="11"/>
      <c r="B554" s="11"/>
      <c r="C554" s="11"/>
      <c r="D554" s="11"/>
      <c r="E554" s="11"/>
    </row>
    <row r="555" ht="15.75" customHeight="1">
      <c r="A555" s="11"/>
      <c r="B555" s="11"/>
      <c r="C555" s="11"/>
      <c r="D555" s="11"/>
      <c r="E555" s="11"/>
    </row>
    <row r="556" ht="15.75" customHeight="1">
      <c r="A556" s="11"/>
      <c r="B556" s="11"/>
      <c r="C556" s="11"/>
      <c r="D556" s="11"/>
      <c r="E556" s="11"/>
    </row>
    <row r="557" ht="15.75" customHeight="1">
      <c r="A557" s="11"/>
      <c r="B557" s="11"/>
      <c r="C557" s="11"/>
      <c r="D557" s="11"/>
      <c r="E557" s="11"/>
    </row>
    <row r="558" ht="15.75" customHeight="1">
      <c r="A558" s="11"/>
      <c r="B558" s="11"/>
      <c r="C558" s="11"/>
      <c r="D558" s="11"/>
      <c r="E558" s="11"/>
    </row>
    <row r="559" ht="15.75" customHeight="1">
      <c r="A559" s="11"/>
      <c r="B559" s="11"/>
      <c r="C559" s="11"/>
      <c r="D559" s="11"/>
      <c r="E559" s="11"/>
    </row>
    <row r="560" ht="15.75" customHeight="1">
      <c r="A560" s="11"/>
      <c r="B560" s="11"/>
      <c r="C560" s="11"/>
      <c r="D560" s="11"/>
      <c r="E560" s="11"/>
    </row>
    <row r="561" ht="15.75" customHeight="1">
      <c r="A561" s="11"/>
      <c r="B561" s="11"/>
      <c r="C561" s="11"/>
      <c r="D561" s="11"/>
      <c r="E561" s="11"/>
    </row>
    <row r="562" ht="15.75" customHeight="1">
      <c r="A562" s="11"/>
      <c r="B562" s="11"/>
      <c r="C562" s="11"/>
      <c r="D562" s="11"/>
      <c r="E562" s="11"/>
    </row>
    <row r="563" ht="15.75" customHeight="1">
      <c r="A563" s="11"/>
      <c r="B563" s="11"/>
      <c r="C563" s="11"/>
      <c r="D563" s="11"/>
      <c r="E563" s="11"/>
    </row>
    <row r="564" ht="15.75" customHeight="1">
      <c r="A564" s="11"/>
      <c r="B564" s="11"/>
      <c r="C564" s="11"/>
      <c r="D564" s="11"/>
      <c r="E564" s="11"/>
    </row>
    <row r="565" ht="15.75" customHeight="1">
      <c r="A565" s="11"/>
      <c r="B565" s="11"/>
      <c r="C565" s="11"/>
      <c r="D565" s="11"/>
      <c r="E565" s="11"/>
    </row>
    <row r="566" ht="15.75" customHeight="1">
      <c r="A566" s="11"/>
      <c r="B566" s="11"/>
      <c r="C566" s="11"/>
      <c r="D566" s="11"/>
      <c r="E566" s="11"/>
    </row>
    <row r="567" ht="15.75" customHeight="1">
      <c r="A567" s="11"/>
      <c r="B567" s="11"/>
      <c r="C567" s="11"/>
      <c r="D567" s="11"/>
      <c r="E567" s="11"/>
    </row>
    <row r="568" ht="15.75" customHeight="1">
      <c r="A568" s="11"/>
      <c r="B568" s="11"/>
      <c r="C568" s="11"/>
      <c r="D568" s="11"/>
      <c r="E568" s="11"/>
    </row>
    <row r="569" ht="15.75" customHeight="1">
      <c r="A569" s="11"/>
      <c r="B569" s="11"/>
      <c r="C569" s="11"/>
      <c r="D569" s="11"/>
      <c r="E569" s="11"/>
    </row>
    <row r="570" ht="15.75" customHeight="1">
      <c r="A570" s="11"/>
      <c r="B570" s="11"/>
      <c r="C570" s="11"/>
      <c r="D570" s="11"/>
      <c r="E570" s="11"/>
    </row>
    <row r="571" ht="15.75" customHeight="1">
      <c r="A571" s="11"/>
      <c r="B571" s="11"/>
      <c r="C571" s="11"/>
      <c r="D571" s="11"/>
      <c r="E571" s="11"/>
    </row>
    <row r="572" ht="15.75" customHeight="1">
      <c r="A572" s="11"/>
      <c r="B572" s="11"/>
      <c r="C572" s="11"/>
      <c r="D572" s="11"/>
      <c r="E572" s="11"/>
    </row>
    <row r="573" ht="15.75" customHeight="1">
      <c r="A573" s="11"/>
      <c r="B573" s="11"/>
      <c r="C573" s="11"/>
      <c r="D573" s="11"/>
      <c r="E573" s="11"/>
    </row>
    <row r="574" ht="15.75" customHeight="1">
      <c r="A574" s="11"/>
      <c r="B574" s="11"/>
      <c r="C574" s="11"/>
      <c r="D574" s="11"/>
      <c r="E574" s="11"/>
    </row>
    <row r="575" ht="15.75" customHeight="1">
      <c r="A575" s="11"/>
      <c r="B575" s="11"/>
      <c r="C575" s="11"/>
      <c r="D575" s="11"/>
      <c r="E575" s="11"/>
    </row>
    <row r="576" ht="15.75" customHeight="1">
      <c r="A576" s="11"/>
      <c r="B576" s="11"/>
      <c r="C576" s="11"/>
      <c r="D576" s="11"/>
      <c r="E576" s="11"/>
    </row>
    <row r="577" ht="15.75" customHeight="1">
      <c r="A577" s="11"/>
      <c r="B577" s="11"/>
      <c r="C577" s="11"/>
      <c r="D577" s="11"/>
      <c r="E577" s="11"/>
    </row>
    <row r="578" ht="15.75" customHeight="1">
      <c r="A578" s="11"/>
      <c r="B578" s="11"/>
      <c r="C578" s="11"/>
      <c r="D578" s="11"/>
      <c r="E578" s="11"/>
    </row>
    <row r="579" ht="15.75" customHeight="1">
      <c r="A579" s="11"/>
      <c r="B579" s="11"/>
      <c r="C579" s="11"/>
      <c r="D579" s="11"/>
      <c r="E579" s="11"/>
    </row>
    <row r="580" ht="15.75" customHeight="1">
      <c r="A580" s="11"/>
      <c r="B580" s="11"/>
      <c r="C580" s="11"/>
      <c r="D580" s="11"/>
      <c r="E580" s="11"/>
    </row>
    <row r="581" ht="15.75" customHeight="1">
      <c r="A581" s="11"/>
      <c r="B581" s="11"/>
      <c r="C581" s="11"/>
      <c r="D581" s="11"/>
      <c r="E581" s="11"/>
    </row>
    <row r="582" ht="15.75" customHeight="1">
      <c r="A582" s="11"/>
      <c r="B582" s="11"/>
      <c r="C582" s="11"/>
      <c r="D582" s="11"/>
      <c r="E582" s="11"/>
    </row>
    <row r="583" ht="15.75" customHeight="1">
      <c r="A583" s="11"/>
      <c r="B583" s="11"/>
      <c r="C583" s="11"/>
      <c r="D583" s="11"/>
      <c r="E583" s="11"/>
    </row>
    <row r="584" ht="15.75" customHeight="1">
      <c r="A584" s="11"/>
      <c r="B584" s="11"/>
      <c r="C584" s="11"/>
      <c r="D584" s="11"/>
      <c r="E584" s="11"/>
    </row>
    <row r="585" ht="15.75" customHeight="1">
      <c r="A585" s="11"/>
      <c r="B585" s="11"/>
      <c r="C585" s="11"/>
      <c r="D585" s="11"/>
      <c r="E585" s="11"/>
    </row>
    <row r="586" ht="15.75" customHeight="1">
      <c r="A586" s="11"/>
      <c r="B586" s="11"/>
      <c r="C586" s="11"/>
      <c r="D586" s="11"/>
      <c r="E586" s="11"/>
    </row>
    <row r="587" ht="15.75" customHeight="1">
      <c r="A587" s="11"/>
      <c r="B587" s="11"/>
      <c r="C587" s="11"/>
      <c r="D587" s="11"/>
      <c r="E587" s="11"/>
    </row>
    <row r="588" ht="15.75" customHeight="1">
      <c r="A588" s="11"/>
      <c r="B588" s="11"/>
      <c r="C588" s="11"/>
      <c r="D588" s="11"/>
      <c r="E588" s="11"/>
    </row>
    <row r="589" ht="15.75" customHeight="1">
      <c r="A589" s="11"/>
      <c r="B589" s="11"/>
      <c r="C589" s="11"/>
      <c r="D589" s="11"/>
      <c r="E589" s="11"/>
    </row>
    <row r="590" ht="15.75" customHeight="1">
      <c r="A590" s="11"/>
      <c r="B590" s="11"/>
      <c r="C590" s="11"/>
      <c r="D590" s="11"/>
      <c r="E590" s="11"/>
    </row>
    <row r="591" ht="15.75" customHeight="1">
      <c r="A591" s="11"/>
      <c r="B591" s="11"/>
      <c r="C591" s="11"/>
      <c r="D591" s="11"/>
      <c r="E591" s="11"/>
    </row>
    <row r="592" ht="15.75" customHeight="1">
      <c r="A592" s="11"/>
      <c r="B592" s="11"/>
      <c r="C592" s="11"/>
      <c r="D592" s="11"/>
      <c r="E592" s="11"/>
    </row>
    <row r="593" ht="15.75" customHeight="1">
      <c r="A593" s="11"/>
      <c r="B593" s="11"/>
      <c r="C593" s="11"/>
      <c r="D593" s="11"/>
      <c r="E593" s="11"/>
    </row>
    <row r="594" ht="15.75" customHeight="1">
      <c r="A594" s="11"/>
      <c r="B594" s="11"/>
      <c r="C594" s="11"/>
      <c r="D594" s="11"/>
      <c r="E594" s="11"/>
    </row>
    <row r="595" ht="15.75" customHeight="1">
      <c r="A595" s="11"/>
      <c r="B595" s="11"/>
      <c r="C595" s="11"/>
      <c r="D595" s="11"/>
      <c r="E595" s="11"/>
    </row>
    <row r="596" ht="15.75" customHeight="1">
      <c r="A596" s="11"/>
      <c r="B596" s="11"/>
      <c r="C596" s="11"/>
      <c r="D596" s="11"/>
      <c r="E596" s="11"/>
    </row>
    <row r="597" ht="15.75" customHeight="1">
      <c r="A597" s="11"/>
      <c r="B597" s="11"/>
      <c r="C597" s="11"/>
      <c r="D597" s="11"/>
      <c r="E597" s="11"/>
    </row>
    <row r="598" ht="15.75" customHeight="1">
      <c r="A598" s="11"/>
      <c r="B598" s="11"/>
      <c r="C598" s="11"/>
      <c r="D598" s="11"/>
      <c r="E598" s="11"/>
    </row>
    <row r="599" ht="15.75" customHeight="1">
      <c r="A599" s="11"/>
      <c r="B599" s="11"/>
      <c r="C599" s="11"/>
      <c r="D599" s="11"/>
      <c r="E599" s="11"/>
    </row>
    <row r="600" ht="15.75" customHeight="1">
      <c r="A600" s="11"/>
      <c r="B600" s="11"/>
      <c r="C600" s="11"/>
      <c r="D600" s="11"/>
      <c r="E600" s="11"/>
    </row>
    <row r="601" ht="15.75" customHeight="1">
      <c r="A601" s="11"/>
      <c r="B601" s="11"/>
      <c r="C601" s="11"/>
      <c r="D601" s="11"/>
      <c r="E601" s="11"/>
    </row>
    <row r="602" ht="15.75" customHeight="1">
      <c r="A602" s="11"/>
      <c r="B602" s="11"/>
      <c r="C602" s="11"/>
      <c r="D602" s="11"/>
      <c r="E602" s="11"/>
    </row>
    <row r="603" ht="15.75" customHeight="1">
      <c r="A603" s="11"/>
      <c r="B603" s="11"/>
      <c r="C603" s="11"/>
      <c r="D603" s="11"/>
      <c r="E603" s="11"/>
    </row>
    <row r="604" ht="15.75" customHeight="1">
      <c r="A604" s="11"/>
      <c r="B604" s="11"/>
      <c r="C604" s="11"/>
      <c r="D604" s="11"/>
      <c r="E604" s="11"/>
    </row>
    <row r="605" ht="15.75" customHeight="1">
      <c r="A605" s="11"/>
      <c r="B605" s="11"/>
      <c r="C605" s="11"/>
      <c r="D605" s="11"/>
      <c r="E605" s="11"/>
    </row>
    <row r="606" ht="15.75" customHeight="1">
      <c r="A606" s="11"/>
      <c r="B606" s="11"/>
      <c r="C606" s="11"/>
      <c r="D606" s="11"/>
      <c r="E606" s="11"/>
    </row>
    <row r="607" ht="15.75" customHeight="1">
      <c r="A607" s="11"/>
      <c r="B607" s="11"/>
      <c r="C607" s="11"/>
      <c r="D607" s="11"/>
      <c r="E607" s="11"/>
    </row>
    <row r="608" ht="15.75" customHeight="1">
      <c r="A608" s="11"/>
      <c r="B608" s="11"/>
      <c r="C608" s="11"/>
      <c r="D608" s="11"/>
      <c r="E608" s="11"/>
    </row>
    <row r="609" ht="15.75" customHeight="1">
      <c r="A609" s="11"/>
      <c r="B609" s="11"/>
      <c r="C609" s="11"/>
      <c r="D609" s="11"/>
      <c r="E609" s="11"/>
    </row>
    <row r="610" ht="15.75" customHeight="1">
      <c r="A610" s="11"/>
      <c r="B610" s="11"/>
      <c r="C610" s="11"/>
      <c r="D610" s="11"/>
      <c r="E610" s="11"/>
    </row>
    <row r="611" ht="15.75" customHeight="1">
      <c r="A611" s="11"/>
      <c r="B611" s="11"/>
      <c r="C611" s="11"/>
      <c r="D611" s="11"/>
      <c r="E611" s="11"/>
    </row>
    <row r="612" ht="15.75" customHeight="1">
      <c r="A612" s="11"/>
      <c r="B612" s="11"/>
      <c r="C612" s="11"/>
      <c r="D612" s="11"/>
      <c r="E612" s="11"/>
    </row>
    <row r="613" ht="15.75" customHeight="1">
      <c r="A613" s="11"/>
      <c r="B613" s="11"/>
      <c r="C613" s="11"/>
      <c r="D613" s="11"/>
      <c r="E613" s="11"/>
    </row>
    <row r="614" ht="15.75" customHeight="1">
      <c r="A614" s="11"/>
      <c r="B614" s="11"/>
      <c r="C614" s="11"/>
      <c r="D614" s="11"/>
      <c r="E614" s="11"/>
    </row>
    <row r="615" ht="15.75" customHeight="1">
      <c r="A615" s="11"/>
      <c r="B615" s="11"/>
      <c r="C615" s="11"/>
      <c r="D615" s="11"/>
      <c r="E615" s="11"/>
    </row>
    <row r="616" ht="15.75" customHeight="1">
      <c r="A616" s="11"/>
      <c r="B616" s="11"/>
      <c r="C616" s="11"/>
      <c r="D616" s="11"/>
      <c r="E616" s="11"/>
    </row>
    <row r="617" ht="15.75" customHeight="1">
      <c r="A617" s="11"/>
      <c r="B617" s="11"/>
      <c r="C617" s="11"/>
      <c r="D617" s="11"/>
      <c r="E617" s="11"/>
    </row>
    <row r="618" ht="15.75" customHeight="1">
      <c r="A618" s="11"/>
      <c r="B618" s="11"/>
      <c r="C618" s="11"/>
      <c r="D618" s="11"/>
      <c r="E618" s="11"/>
    </row>
    <row r="619" ht="15.75" customHeight="1">
      <c r="A619" s="11"/>
      <c r="B619" s="11"/>
      <c r="C619" s="11"/>
      <c r="D619" s="11"/>
      <c r="E619" s="11"/>
    </row>
    <row r="620" ht="15.75" customHeight="1">
      <c r="A620" s="11"/>
      <c r="B620" s="11"/>
      <c r="C620" s="11"/>
      <c r="D620" s="11"/>
      <c r="E620" s="11"/>
    </row>
    <row r="621" ht="15.75" customHeight="1">
      <c r="A621" s="11"/>
      <c r="B621" s="11"/>
      <c r="C621" s="11"/>
      <c r="D621" s="11"/>
      <c r="E621" s="11"/>
    </row>
    <row r="622" ht="15.75" customHeight="1">
      <c r="A622" s="11"/>
      <c r="B622" s="11"/>
      <c r="C622" s="11"/>
      <c r="D622" s="11"/>
      <c r="E622" s="11"/>
    </row>
    <row r="623" ht="15.75" customHeight="1">
      <c r="A623" s="11"/>
      <c r="B623" s="11"/>
      <c r="C623" s="11"/>
      <c r="D623" s="11"/>
      <c r="E623" s="11"/>
    </row>
    <row r="624" ht="15.75" customHeight="1">
      <c r="A624" s="11"/>
      <c r="B624" s="11"/>
      <c r="C624" s="11"/>
      <c r="D624" s="11"/>
      <c r="E624" s="11"/>
    </row>
    <row r="625" ht="15.75" customHeight="1">
      <c r="A625" s="11"/>
      <c r="B625" s="11"/>
      <c r="C625" s="11"/>
      <c r="D625" s="11"/>
      <c r="E625" s="11"/>
    </row>
    <row r="626" ht="15.75" customHeight="1">
      <c r="A626" s="11"/>
      <c r="B626" s="11"/>
      <c r="C626" s="11"/>
      <c r="D626" s="11"/>
      <c r="E626" s="11"/>
    </row>
    <row r="627" ht="15.75" customHeight="1">
      <c r="A627" s="11"/>
      <c r="B627" s="11"/>
      <c r="C627" s="11"/>
      <c r="D627" s="11"/>
      <c r="E627" s="11"/>
    </row>
    <row r="628" ht="15.75" customHeight="1">
      <c r="A628" s="11"/>
      <c r="B628" s="11"/>
      <c r="C628" s="11"/>
      <c r="D628" s="11"/>
      <c r="E628" s="11"/>
    </row>
    <row r="629" ht="15.75" customHeight="1">
      <c r="A629" s="11"/>
      <c r="B629" s="11"/>
      <c r="C629" s="11"/>
      <c r="D629" s="11"/>
      <c r="E629" s="11"/>
    </row>
    <row r="630" ht="15.75" customHeight="1">
      <c r="A630" s="11"/>
      <c r="B630" s="11"/>
      <c r="C630" s="11"/>
      <c r="D630" s="11"/>
      <c r="E630" s="11"/>
    </row>
    <row r="631" ht="15.75" customHeight="1">
      <c r="A631" s="11"/>
      <c r="B631" s="11"/>
      <c r="C631" s="11"/>
      <c r="D631" s="11"/>
      <c r="E631" s="11"/>
    </row>
    <row r="632" ht="15.75" customHeight="1">
      <c r="A632" s="11"/>
      <c r="B632" s="11"/>
      <c r="C632" s="11"/>
      <c r="D632" s="11"/>
      <c r="E632" s="11"/>
    </row>
    <row r="633" ht="15.75" customHeight="1">
      <c r="A633" s="11"/>
      <c r="B633" s="11"/>
      <c r="C633" s="11"/>
      <c r="D633" s="11"/>
      <c r="E633" s="11"/>
    </row>
    <row r="634" ht="15.75" customHeight="1">
      <c r="A634" s="11"/>
      <c r="B634" s="11"/>
      <c r="C634" s="11"/>
      <c r="D634" s="11"/>
      <c r="E634" s="11"/>
    </row>
    <row r="635" ht="15.75" customHeight="1">
      <c r="A635" s="11"/>
      <c r="B635" s="11"/>
      <c r="C635" s="11"/>
      <c r="D635" s="11"/>
      <c r="E635" s="11"/>
    </row>
    <row r="636" ht="15.75" customHeight="1">
      <c r="A636" s="11"/>
      <c r="B636" s="11"/>
      <c r="C636" s="11"/>
      <c r="D636" s="11"/>
      <c r="E636" s="11"/>
    </row>
    <row r="637" ht="15.75" customHeight="1">
      <c r="A637" s="11"/>
      <c r="B637" s="11"/>
      <c r="C637" s="11"/>
      <c r="D637" s="11"/>
      <c r="E637" s="11"/>
    </row>
    <row r="638" ht="15.75" customHeight="1">
      <c r="A638" s="11"/>
      <c r="B638" s="11"/>
      <c r="C638" s="11"/>
      <c r="D638" s="11"/>
      <c r="E638" s="11"/>
    </row>
    <row r="639" ht="15.75" customHeight="1">
      <c r="A639" s="11"/>
      <c r="B639" s="11"/>
      <c r="C639" s="11"/>
      <c r="D639" s="11"/>
      <c r="E639" s="11"/>
    </row>
    <row r="640" ht="15.75" customHeight="1">
      <c r="A640" s="11"/>
      <c r="B640" s="11"/>
      <c r="C640" s="11"/>
      <c r="D640" s="11"/>
      <c r="E640" s="11"/>
    </row>
    <row r="641" ht="15.75" customHeight="1">
      <c r="A641" s="11"/>
      <c r="B641" s="11"/>
      <c r="C641" s="11"/>
      <c r="D641" s="11"/>
      <c r="E641" s="11"/>
    </row>
    <row r="642" ht="15.75" customHeight="1">
      <c r="A642" s="11"/>
      <c r="B642" s="11"/>
      <c r="C642" s="11"/>
      <c r="D642" s="11"/>
      <c r="E642" s="11"/>
    </row>
    <row r="643" ht="15.75" customHeight="1">
      <c r="A643" s="11"/>
      <c r="B643" s="11"/>
      <c r="C643" s="11"/>
      <c r="D643" s="11"/>
      <c r="E643" s="11"/>
    </row>
    <row r="644" ht="15.75" customHeight="1">
      <c r="A644" s="11"/>
      <c r="B644" s="11"/>
      <c r="C644" s="11"/>
      <c r="D644" s="11"/>
      <c r="E644" s="11"/>
    </row>
    <row r="645" ht="15.75" customHeight="1">
      <c r="A645" s="11"/>
      <c r="B645" s="11"/>
      <c r="C645" s="11"/>
      <c r="D645" s="11"/>
      <c r="E645" s="11"/>
    </row>
    <row r="646" ht="15.75" customHeight="1">
      <c r="A646" s="11"/>
      <c r="B646" s="11"/>
      <c r="C646" s="11"/>
      <c r="D646" s="11"/>
      <c r="E646" s="11"/>
    </row>
    <row r="647" ht="15.75" customHeight="1">
      <c r="A647" s="11"/>
      <c r="B647" s="11"/>
      <c r="C647" s="11"/>
      <c r="D647" s="11"/>
      <c r="E647" s="11"/>
    </row>
    <row r="648" ht="15.75" customHeight="1">
      <c r="A648" s="11"/>
      <c r="B648" s="11"/>
      <c r="C648" s="11"/>
      <c r="D648" s="11"/>
      <c r="E648" s="11"/>
    </row>
    <row r="649" ht="15.75" customHeight="1">
      <c r="A649" s="11"/>
      <c r="B649" s="11"/>
      <c r="C649" s="11"/>
      <c r="D649" s="11"/>
      <c r="E649" s="11"/>
    </row>
    <row r="650" ht="15.75" customHeight="1">
      <c r="A650" s="11"/>
      <c r="B650" s="11"/>
      <c r="C650" s="11"/>
      <c r="D650" s="11"/>
      <c r="E650" s="11"/>
    </row>
    <row r="651" ht="15.75" customHeight="1">
      <c r="A651" s="11"/>
      <c r="B651" s="11"/>
      <c r="C651" s="11"/>
      <c r="D651" s="11"/>
      <c r="E651" s="11"/>
    </row>
    <row r="652" ht="15.75" customHeight="1">
      <c r="A652" s="11"/>
      <c r="B652" s="11"/>
      <c r="C652" s="11"/>
      <c r="D652" s="11"/>
      <c r="E652" s="11"/>
    </row>
    <row r="653" ht="15.75" customHeight="1">
      <c r="A653" s="11"/>
      <c r="B653" s="11"/>
      <c r="C653" s="11"/>
      <c r="D653" s="11"/>
      <c r="E653" s="11"/>
    </row>
    <row r="654" ht="15.75" customHeight="1">
      <c r="A654" s="11"/>
      <c r="B654" s="11"/>
      <c r="C654" s="11"/>
      <c r="D654" s="11"/>
      <c r="E654" s="11"/>
    </row>
    <row r="655" ht="15.75" customHeight="1">
      <c r="A655" s="11"/>
      <c r="B655" s="11"/>
      <c r="C655" s="11"/>
      <c r="D655" s="11"/>
      <c r="E655" s="11"/>
    </row>
    <row r="656" ht="15.75" customHeight="1">
      <c r="A656" s="11"/>
      <c r="B656" s="11"/>
      <c r="C656" s="11"/>
      <c r="D656" s="11"/>
      <c r="E656" s="11"/>
    </row>
    <row r="657" ht="15.75" customHeight="1">
      <c r="A657" s="11"/>
      <c r="B657" s="11"/>
      <c r="C657" s="11"/>
      <c r="D657" s="11"/>
      <c r="E657" s="11"/>
    </row>
    <row r="658" ht="15.75" customHeight="1">
      <c r="A658" s="11"/>
      <c r="B658" s="11"/>
      <c r="C658" s="11"/>
      <c r="D658" s="11"/>
      <c r="E658" s="11"/>
    </row>
    <row r="659" ht="15.75" customHeight="1">
      <c r="A659" s="11"/>
      <c r="B659" s="11"/>
      <c r="C659" s="11"/>
      <c r="D659" s="11"/>
      <c r="E659" s="11"/>
    </row>
    <row r="660" ht="15.75" customHeight="1">
      <c r="A660" s="11"/>
      <c r="B660" s="11"/>
      <c r="C660" s="11"/>
      <c r="D660" s="11"/>
      <c r="E660" s="11"/>
    </row>
    <row r="661" ht="15.75" customHeight="1">
      <c r="A661" s="11"/>
      <c r="B661" s="11"/>
      <c r="C661" s="11"/>
      <c r="D661" s="11"/>
      <c r="E661" s="11"/>
    </row>
    <row r="662" ht="15.75" customHeight="1">
      <c r="A662" s="11"/>
      <c r="B662" s="11"/>
      <c r="C662" s="11"/>
      <c r="D662" s="11"/>
      <c r="E662" s="11"/>
    </row>
    <row r="663" ht="15.75" customHeight="1">
      <c r="A663" s="11"/>
      <c r="B663" s="11"/>
      <c r="C663" s="11"/>
      <c r="D663" s="11"/>
      <c r="E663" s="11"/>
    </row>
    <row r="664" ht="15.75" customHeight="1">
      <c r="A664" s="11"/>
      <c r="B664" s="11"/>
      <c r="C664" s="11"/>
      <c r="D664" s="11"/>
      <c r="E664" s="11"/>
    </row>
    <row r="665" ht="15.75" customHeight="1">
      <c r="A665" s="11"/>
      <c r="B665" s="11"/>
      <c r="C665" s="11"/>
      <c r="D665" s="11"/>
      <c r="E665" s="11"/>
    </row>
    <row r="666" ht="15.75" customHeight="1">
      <c r="A666" s="11"/>
      <c r="B666" s="11"/>
      <c r="C666" s="11"/>
      <c r="D666" s="11"/>
      <c r="E666" s="11"/>
    </row>
    <row r="667" ht="15.75" customHeight="1">
      <c r="A667" s="11"/>
      <c r="B667" s="11"/>
      <c r="C667" s="11"/>
      <c r="D667" s="11"/>
      <c r="E667" s="11"/>
    </row>
    <row r="668" ht="15.75" customHeight="1">
      <c r="A668" s="11"/>
      <c r="B668" s="11"/>
      <c r="C668" s="11"/>
      <c r="D668" s="11"/>
      <c r="E668" s="11"/>
    </row>
    <row r="669" ht="15.75" customHeight="1">
      <c r="A669" s="11"/>
      <c r="B669" s="11"/>
      <c r="C669" s="11"/>
      <c r="D669" s="11"/>
      <c r="E669" s="11"/>
    </row>
    <row r="670" ht="15.75" customHeight="1">
      <c r="A670" s="11"/>
      <c r="B670" s="11"/>
      <c r="C670" s="11"/>
      <c r="D670" s="11"/>
      <c r="E670" s="11"/>
    </row>
    <row r="671" ht="15.75" customHeight="1">
      <c r="A671" s="11"/>
      <c r="B671" s="11"/>
      <c r="C671" s="11"/>
      <c r="D671" s="11"/>
      <c r="E671" s="11"/>
    </row>
    <row r="672" ht="15.75" customHeight="1">
      <c r="A672" s="11"/>
      <c r="B672" s="11"/>
      <c r="C672" s="11"/>
      <c r="D672" s="11"/>
      <c r="E672" s="11"/>
    </row>
    <row r="673" ht="15.75" customHeight="1">
      <c r="A673" s="11"/>
      <c r="B673" s="11"/>
      <c r="C673" s="11"/>
      <c r="D673" s="11"/>
      <c r="E673" s="11"/>
    </row>
    <row r="674" ht="15.75" customHeight="1">
      <c r="A674" s="11"/>
      <c r="B674" s="11"/>
      <c r="C674" s="11"/>
      <c r="D674" s="11"/>
      <c r="E674" s="11"/>
    </row>
    <row r="675" ht="15.75" customHeight="1">
      <c r="A675" s="11"/>
      <c r="B675" s="11"/>
      <c r="C675" s="11"/>
      <c r="D675" s="11"/>
      <c r="E675" s="11"/>
    </row>
    <row r="676" ht="15.75" customHeight="1">
      <c r="A676" s="11"/>
      <c r="B676" s="11"/>
      <c r="C676" s="11"/>
      <c r="D676" s="11"/>
      <c r="E676" s="11"/>
    </row>
    <row r="677" ht="15.75" customHeight="1">
      <c r="A677" s="11"/>
      <c r="B677" s="11"/>
      <c r="C677" s="11"/>
      <c r="D677" s="11"/>
      <c r="E677" s="11"/>
    </row>
    <row r="678" ht="15.75" customHeight="1">
      <c r="A678" s="11"/>
      <c r="B678" s="11"/>
      <c r="C678" s="11"/>
      <c r="D678" s="11"/>
      <c r="E678" s="11"/>
    </row>
    <row r="679" ht="15.75" customHeight="1">
      <c r="A679" s="11"/>
      <c r="B679" s="11"/>
      <c r="C679" s="11"/>
      <c r="D679" s="11"/>
      <c r="E679" s="11"/>
    </row>
    <row r="680" ht="15.75" customHeight="1">
      <c r="A680" s="11"/>
      <c r="B680" s="11"/>
      <c r="C680" s="11"/>
      <c r="D680" s="11"/>
      <c r="E680" s="11"/>
    </row>
    <row r="681" ht="15.75" customHeight="1">
      <c r="A681" s="11"/>
      <c r="B681" s="11"/>
      <c r="C681" s="11"/>
      <c r="D681" s="11"/>
      <c r="E681" s="11"/>
    </row>
    <row r="682" ht="15.75" customHeight="1">
      <c r="A682" s="11"/>
      <c r="B682" s="11"/>
      <c r="C682" s="11"/>
      <c r="D682" s="11"/>
      <c r="E682" s="11"/>
    </row>
    <row r="683" ht="15.75" customHeight="1">
      <c r="A683" s="11"/>
      <c r="B683" s="11"/>
      <c r="C683" s="11"/>
      <c r="D683" s="11"/>
      <c r="E683" s="11"/>
    </row>
    <row r="684" ht="15.75" customHeight="1">
      <c r="A684" s="11"/>
      <c r="B684" s="11"/>
      <c r="C684" s="11"/>
      <c r="D684" s="11"/>
      <c r="E684" s="11"/>
    </row>
    <row r="685" ht="15.75" customHeight="1">
      <c r="A685" s="11"/>
      <c r="B685" s="11"/>
      <c r="C685" s="11"/>
      <c r="D685" s="11"/>
      <c r="E685" s="11"/>
    </row>
    <row r="686" ht="15.75" customHeight="1">
      <c r="A686" s="11"/>
      <c r="B686" s="11"/>
      <c r="C686" s="11"/>
      <c r="D686" s="11"/>
      <c r="E686" s="11"/>
    </row>
    <row r="687" ht="15.75" customHeight="1">
      <c r="A687" s="11"/>
      <c r="B687" s="11"/>
      <c r="C687" s="11"/>
      <c r="D687" s="11"/>
      <c r="E687" s="11"/>
    </row>
    <row r="688" ht="15.75" customHeight="1">
      <c r="A688" s="11"/>
      <c r="B688" s="11"/>
      <c r="C688" s="11"/>
      <c r="D688" s="11"/>
      <c r="E688" s="11"/>
    </row>
    <row r="689" ht="15.75" customHeight="1">
      <c r="A689" s="11"/>
      <c r="B689" s="11"/>
      <c r="C689" s="11"/>
      <c r="D689" s="11"/>
      <c r="E689" s="11"/>
    </row>
    <row r="690" ht="15.75" customHeight="1">
      <c r="A690" s="11"/>
      <c r="B690" s="11"/>
      <c r="C690" s="11"/>
      <c r="D690" s="11"/>
      <c r="E690" s="11"/>
    </row>
    <row r="691" ht="15.75" customHeight="1">
      <c r="A691" s="11"/>
      <c r="B691" s="11"/>
      <c r="C691" s="11"/>
      <c r="D691" s="11"/>
      <c r="E691" s="11"/>
    </row>
    <row r="692" ht="15.75" customHeight="1">
      <c r="A692" s="11"/>
      <c r="B692" s="11"/>
      <c r="C692" s="11"/>
      <c r="D692" s="11"/>
      <c r="E692" s="11"/>
    </row>
    <row r="693" ht="15.75" customHeight="1">
      <c r="A693" s="11"/>
      <c r="B693" s="11"/>
      <c r="C693" s="11"/>
      <c r="D693" s="11"/>
      <c r="E693" s="11"/>
    </row>
    <row r="694" ht="15.75" customHeight="1">
      <c r="A694" s="11"/>
      <c r="B694" s="11"/>
      <c r="C694" s="11"/>
      <c r="D694" s="11"/>
      <c r="E694" s="11"/>
    </row>
    <row r="695" ht="15.75" customHeight="1">
      <c r="A695" s="11"/>
      <c r="B695" s="11"/>
      <c r="C695" s="11"/>
      <c r="D695" s="11"/>
      <c r="E695" s="11"/>
    </row>
    <row r="696" ht="15.75" customHeight="1">
      <c r="A696" s="11"/>
      <c r="B696" s="11"/>
      <c r="C696" s="11"/>
      <c r="D696" s="11"/>
      <c r="E696" s="11"/>
    </row>
    <row r="697" ht="15.75" customHeight="1">
      <c r="A697" s="11"/>
      <c r="B697" s="11"/>
      <c r="C697" s="11"/>
      <c r="D697" s="11"/>
      <c r="E697" s="11"/>
    </row>
    <row r="698" ht="15.75" customHeight="1">
      <c r="A698" s="11"/>
      <c r="B698" s="11"/>
      <c r="C698" s="11"/>
      <c r="D698" s="11"/>
      <c r="E698" s="11"/>
    </row>
    <row r="699" ht="15.75" customHeight="1">
      <c r="A699" s="11"/>
      <c r="B699" s="11"/>
      <c r="C699" s="11"/>
      <c r="D699" s="11"/>
      <c r="E699" s="11"/>
    </row>
    <row r="700" ht="15.75" customHeight="1">
      <c r="A700" s="11"/>
      <c r="B700" s="11"/>
      <c r="C700" s="11"/>
      <c r="D700" s="11"/>
      <c r="E700" s="11"/>
    </row>
    <row r="701" ht="15.75" customHeight="1">
      <c r="A701" s="11"/>
      <c r="B701" s="11"/>
      <c r="C701" s="11"/>
      <c r="D701" s="11"/>
      <c r="E701" s="11"/>
    </row>
    <row r="702" ht="15.75" customHeight="1">
      <c r="A702" s="11"/>
      <c r="B702" s="11"/>
      <c r="C702" s="11"/>
      <c r="D702" s="11"/>
      <c r="E702" s="11"/>
    </row>
    <row r="703" ht="15.75" customHeight="1">
      <c r="A703" s="11"/>
      <c r="B703" s="11"/>
      <c r="C703" s="11"/>
      <c r="D703" s="11"/>
      <c r="E703" s="11"/>
    </row>
    <row r="704" ht="15.75" customHeight="1">
      <c r="A704" s="11"/>
      <c r="B704" s="11"/>
      <c r="C704" s="11"/>
      <c r="D704" s="11"/>
      <c r="E704" s="11"/>
    </row>
    <row r="705" ht="15.75" customHeight="1">
      <c r="A705" s="11"/>
      <c r="B705" s="11"/>
      <c r="C705" s="11"/>
      <c r="D705" s="11"/>
      <c r="E705" s="11"/>
    </row>
    <row r="706" ht="15.75" customHeight="1">
      <c r="A706" s="11"/>
      <c r="B706" s="11"/>
      <c r="C706" s="11"/>
      <c r="D706" s="11"/>
      <c r="E706" s="11"/>
    </row>
    <row r="707" ht="15.75" customHeight="1">
      <c r="A707" s="11"/>
      <c r="B707" s="11"/>
      <c r="C707" s="11"/>
      <c r="D707" s="11"/>
      <c r="E707" s="11"/>
    </row>
    <row r="708" ht="15.75" customHeight="1">
      <c r="A708" s="11"/>
      <c r="B708" s="11"/>
      <c r="C708" s="11"/>
      <c r="D708" s="11"/>
      <c r="E708" s="11"/>
    </row>
    <row r="709" ht="15.75" customHeight="1">
      <c r="A709" s="11"/>
      <c r="B709" s="11"/>
      <c r="C709" s="11"/>
      <c r="D709" s="11"/>
      <c r="E709" s="11"/>
    </row>
    <row r="710" ht="15.75" customHeight="1">
      <c r="A710" s="11"/>
      <c r="B710" s="11"/>
      <c r="C710" s="11"/>
      <c r="D710" s="11"/>
      <c r="E710" s="11"/>
    </row>
    <row r="711" ht="15.75" customHeight="1">
      <c r="A711" s="11"/>
      <c r="B711" s="11"/>
      <c r="C711" s="11"/>
      <c r="D711" s="11"/>
      <c r="E711" s="11"/>
    </row>
    <row r="712" ht="15.75" customHeight="1">
      <c r="A712" s="11"/>
      <c r="B712" s="11"/>
      <c r="C712" s="11"/>
      <c r="D712" s="11"/>
      <c r="E712" s="11"/>
    </row>
    <row r="713" ht="15.75" customHeight="1">
      <c r="A713" s="11"/>
      <c r="B713" s="11"/>
      <c r="C713" s="11"/>
      <c r="D713" s="11"/>
      <c r="E713" s="11"/>
    </row>
    <row r="714" ht="15.75" customHeight="1">
      <c r="A714" s="11"/>
      <c r="B714" s="11"/>
      <c r="C714" s="11"/>
      <c r="D714" s="11"/>
      <c r="E714" s="11"/>
    </row>
    <row r="715" ht="15.75" customHeight="1">
      <c r="A715" s="11"/>
      <c r="B715" s="11"/>
      <c r="C715" s="11"/>
      <c r="D715" s="11"/>
      <c r="E715" s="11"/>
    </row>
    <row r="716" ht="15.75" customHeight="1">
      <c r="A716" s="11"/>
      <c r="B716" s="11"/>
      <c r="C716" s="11"/>
      <c r="D716" s="11"/>
      <c r="E716" s="11"/>
    </row>
    <row r="717" ht="15.75" customHeight="1">
      <c r="A717" s="11"/>
      <c r="B717" s="11"/>
      <c r="C717" s="11"/>
      <c r="D717" s="11"/>
      <c r="E717" s="11"/>
    </row>
    <row r="718" ht="15.75" customHeight="1">
      <c r="A718" s="11"/>
      <c r="B718" s="11"/>
      <c r="C718" s="11"/>
      <c r="D718" s="11"/>
      <c r="E718" s="11"/>
    </row>
    <row r="719" ht="15.75" customHeight="1">
      <c r="A719" s="11"/>
      <c r="B719" s="11"/>
      <c r="C719" s="11"/>
      <c r="D719" s="11"/>
      <c r="E719" s="11"/>
    </row>
    <row r="720" ht="15.75" customHeight="1">
      <c r="A720" s="11"/>
      <c r="B720" s="11"/>
      <c r="C720" s="11"/>
      <c r="D720" s="11"/>
      <c r="E720" s="11"/>
    </row>
    <row r="721" ht="15.75" customHeight="1">
      <c r="A721" s="11"/>
      <c r="B721" s="11"/>
      <c r="C721" s="11"/>
      <c r="D721" s="11"/>
      <c r="E721" s="11"/>
    </row>
    <row r="722" ht="15.75" customHeight="1">
      <c r="A722" s="11"/>
      <c r="B722" s="11"/>
      <c r="C722" s="11"/>
      <c r="D722" s="11"/>
      <c r="E722" s="11"/>
    </row>
    <row r="723" ht="15.75" customHeight="1">
      <c r="A723" s="11"/>
      <c r="B723" s="11"/>
      <c r="C723" s="11"/>
      <c r="D723" s="11"/>
      <c r="E723" s="11"/>
    </row>
    <row r="724" ht="15.75" customHeight="1">
      <c r="A724" s="11"/>
      <c r="B724" s="11"/>
      <c r="C724" s="11"/>
      <c r="D724" s="11"/>
      <c r="E724" s="11"/>
    </row>
    <row r="725" ht="15.75" customHeight="1">
      <c r="A725" s="11"/>
      <c r="B725" s="11"/>
      <c r="C725" s="11"/>
      <c r="D725" s="11"/>
      <c r="E725" s="11"/>
    </row>
    <row r="726" ht="15.75" customHeight="1">
      <c r="A726" s="11"/>
      <c r="B726" s="11"/>
      <c r="C726" s="11"/>
      <c r="D726" s="11"/>
      <c r="E726" s="11"/>
    </row>
    <row r="727" ht="15.75" customHeight="1">
      <c r="A727" s="11"/>
      <c r="B727" s="11"/>
      <c r="C727" s="11"/>
      <c r="D727" s="11"/>
      <c r="E727" s="11"/>
    </row>
    <row r="728" ht="15.75" customHeight="1">
      <c r="A728" s="11"/>
      <c r="B728" s="11"/>
      <c r="C728" s="11"/>
      <c r="D728" s="11"/>
      <c r="E728" s="11"/>
    </row>
    <row r="729" ht="15.75" customHeight="1">
      <c r="A729" s="11"/>
      <c r="B729" s="11"/>
      <c r="C729" s="11"/>
      <c r="D729" s="11"/>
      <c r="E729" s="11"/>
    </row>
    <row r="730" ht="15.75" customHeight="1">
      <c r="A730" s="11"/>
      <c r="B730" s="11"/>
      <c r="C730" s="11"/>
      <c r="D730" s="11"/>
      <c r="E730" s="11"/>
    </row>
    <row r="731" ht="15.75" customHeight="1">
      <c r="A731" s="11"/>
      <c r="B731" s="11"/>
      <c r="C731" s="11"/>
      <c r="D731" s="11"/>
      <c r="E731" s="11"/>
    </row>
    <row r="732" ht="15.75" customHeight="1">
      <c r="A732" s="11"/>
      <c r="B732" s="11"/>
      <c r="C732" s="11"/>
      <c r="D732" s="11"/>
      <c r="E732" s="11"/>
    </row>
    <row r="733" ht="15.75" customHeight="1">
      <c r="A733" s="11"/>
      <c r="B733" s="11"/>
      <c r="C733" s="11"/>
      <c r="D733" s="11"/>
      <c r="E733" s="11"/>
    </row>
    <row r="734" ht="15.75" customHeight="1">
      <c r="A734" s="11"/>
      <c r="B734" s="11"/>
      <c r="C734" s="11"/>
      <c r="D734" s="11"/>
      <c r="E734" s="11"/>
    </row>
    <row r="735" ht="15.75" customHeight="1">
      <c r="A735" s="11"/>
      <c r="B735" s="11"/>
      <c r="C735" s="11"/>
      <c r="D735" s="11"/>
      <c r="E735" s="11"/>
    </row>
    <row r="736" ht="15.75" customHeight="1">
      <c r="A736" s="11"/>
      <c r="B736" s="11"/>
      <c r="C736" s="11"/>
      <c r="D736" s="11"/>
      <c r="E736" s="11"/>
    </row>
    <row r="737" ht="15.75" customHeight="1">
      <c r="A737" s="11"/>
      <c r="B737" s="11"/>
      <c r="C737" s="11"/>
      <c r="D737" s="11"/>
      <c r="E737" s="11"/>
    </row>
    <row r="738" ht="15.75" customHeight="1">
      <c r="A738" s="11"/>
      <c r="B738" s="11"/>
      <c r="C738" s="11"/>
      <c r="D738" s="11"/>
      <c r="E738" s="11"/>
    </row>
    <row r="739" ht="15.75" customHeight="1">
      <c r="A739" s="11"/>
      <c r="B739" s="11"/>
      <c r="C739" s="11"/>
      <c r="D739" s="11"/>
      <c r="E739" s="11"/>
    </row>
    <row r="740" ht="15.75" customHeight="1">
      <c r="A740" s="11"/>
      <c r="B740" s="11"/>
      <c r="C740" s="11"/>
      <c r="D740" s="11"/>
      <c r="E740" s="11"/>
    </row>
    <row r="741" ht="15.75" customHeight="1">
      <c r="A741" s="11"/>
      <c r="B741" s="11"/>
      <c r="C741" s="11"/>
      <c r="D741" s="11"/>
      <c r="E741" s="11"/>
    </row>
    <row r="742" ht="15.75" customHeight="1">
      <c r="A742" s="11"/>
      <c r="B742" s="11"/>
      <c r="C742" s="11"/>
      <c r="D742" s="11"/>
      <c r="E742" s="11"/>
    </row>
    <row r="743" ht="15.75" customHeight="1">
      <c r="A743" s="11"/>
      <c r="B743" s="11"/>
      <c r="C743" s="11"/>
      <c r="D743" s="11"/>
      <c r="E743" s="11"/>
    </row>
    <row r="744" ht="15.75" customHeight="1">
      <c r="A744" s="11"/>
      <c r="B744" s="11"/>
      <c r="C744" s="11"/>
      <c r="D744" s="11"/>
      <c r="E744" s="11"/>
    </row>
    <row r="745" ht="15.75" customHeight="1">
      <c r="A745" s="11"/>
      <c r="B745" s="11"/>
      <c r="C745" s="11"/>
      <c r="D745" s="11"/>
      <c r="E745" s="11"/>
    </row>
    <row r="746" ht="15.75" customHeight="1">
      <c r="A746" s="11"/>
      <c r="B746" s="11"/>
      <c r="C746" s="11"/>
      <c r="D746" s="11"/>
      <c r="E746" s="11"/>
    </row>
    <row r="747" ht="15.75" customHeight="1">
      <c r="A747" s="11"/>
      <c r="B747" s="11"/>
      <c r="C747" s="11"/>
      <c r="D747" s="11"/>
      <c r="E747" s="11"/>
    </row>
    <row r="748" ht="15.75" customHeight="1">
      <c r="A748" s="11"/>
      <c r="B748" s="11"/>
      <c r="C748" s="11"/>
      <c r="D748" s="11"/>
      <c r="E748" s="11"/>
    </row>
    <row r="749" ht="15.75" customHeight="1">
      <c r="A749" s="11"/>
      <c r="B749" s="11"/>
      <c r="C749" s="11"/>
      <c r="D749" s="11"/>
      <c r="E749" s="11"/>
    </row>
    <row r="750" ht="15.75" customHeight="1">
      <c r="A750" s="11"/>
      <c r="B750" s="11"/>
      <c r="C750" s="11"/>
      <c r="D750" s="11"/>
      <c r="E750" s="11"/>
    </row>
    <row r="751" ht="15.75" customHeight="1">
      <c r="A751" s="11"/>
      <c r="B751" s="11"/>
      <c r="C751" s="11"/>
      <c r="D751" s="11"/>
      <c r="E751" s="11"/>
    </row>
    <row r="752" ht="15.75" customHeight="1">
      <c r="A752" s="11"/>
      <c r="B752" s="11"/>
      <c r="C752" s="11"/>
      <c r="D752" s="11"/>
      <c r="E752" s="11"/>
    </row>
    <row r="753" ht="15.75" customHeight="1">
      <c r="A753" s="11"/>
      <c r="B753" s="11"/>
      <c r="C753" s="11"/>
      <c r="D753" s="11"/>
      <c r="E753" s="11"/>
    </row>
    <row r="754" ht="15.75" customHeight="1">
      <c r="A754" s="11"/>
      <c r="B754" s="11"/>
      <c r="C754" s="11"/>
      <c r="D754" s="11"/>
      <c r="E754" s="11"/>
    </row>
    <row r="755" ht="15.75" customHeight="1">
      <c r="A755" s="11"/>
      <c r="B755" s="11"/>
      <c r="C755" s="11"/>
      <c r="D755" s="11"/>
      <c r="E755" s="11"/>
    </row>
    <row r="756" ht="15.75" customHeight="1">
      <c r="A756" s="11"/>
      <c r="B756" s="11"/>
      <c r="C756" s="11"/>
      <c r="D756" s="11"/>
      <c r="E756" s="11"/>
    </row>
    <row r="757" ht="15.75" customHeight="1">
      <c r="A757" s="11"/>
      <c r="B757" s="11"/>
      <c r="C757" s="11"/>
      <c r="D757" s="11"/>
      <c r="E757" s="11"/>
    </row>
    <row r="758" ht="15.75" customHeight="1">
      <c r="A758" s="11"/>
      <c r="B758" s="11"/>
      <c r="C758" s="11"/>
      <c r="D758" s="11"/>
      <c r="E758" s="11"/>
    </row>
    <row r="759" ht="15.75" customHeight="1">
      <c r="A759" s="11"/>
      <c r="B759" s="11"/>
      <c r="C759" s="11"/>
      <c r="D759" s="11"/>
      <c r="E759" s="11"/>
    </row>
    <row r="760" ht="15.75" customHeight="1">
      <c r="A760" s="11"/>
      <c r="B760" s="11"/>
      <c r="C760" s="11"/>
      <c r="D760" s="11"/>
      <c r="E760" s="11"/>
    </row>
    <row r="761" ht="15.75" customHeight="1">
      <c r="A761" s="11"/>
      <c r="B761" s="11"/>
      <c r="C761" s="11"/>
      <c r="D761" s="11"/>
      <c r="E761" s="11"/>
    </row>
    <row r="762" ht="15.75" customHeight="1">
      <c r="A762" s="11"/>
      <c r="B762" s="11"/>
      <c r="C762" s="11"/>
      <c r="D762" s="11"/>
      <c r="E762" s="11"/>
    </row>
    <row r="763" ht="15.75" customHeight="1">
      <c r="A763" s="11"/>
      <c r="B763" s="11"/>
      <c r="C763" s="11"/>
      <c r="D763" s="11"/>
      <c r="E763" s="11"/>
    </row>
    <row r="764" ht="15.75" customHeight="1">
      <c r="A764" s="11"/>
      <c r="B764" s="11"/>
      <c r="C764" s="11"/>
      <c r="D764" s="11"/>
      <c r="E764" s="11"/>
    </row>
    <row r="765" ht="15.75" customHeight="1">
      <c r="A765" s="11"/>
      <c r="B765" s="11"/>
      <c r="C765" s="11"/>
      <c r="D765" s="11"/>
      <c r="E765" s="11"/>
    </row>
    <row r="766" ht="15.75" customHeight="1">
      <c r="A766" s="11"/>
      <c r="B766" s="11"/>
      <c r="C766" s="11"/>
      <c r="D766" s="11"/>
      <c r="E766" s="11"/>
    </row>
    <row r="767" ht="15.75" customHeight="1">
      <c r="A767" s="11"/>
      <c r="B767" s="11"/>
      <c r="C767" s="11"/>
      <c r="D767" s="11"/>
      <c r="E767" s="11"/>
    </row>
    <row r="768" ht="15.75" customHeight="1">
      <c r="A768" s="11"/>
      <c r="B768" s="11"/>
      <c r="C768" s="11"/>
      <c r="D768" s="11"/>
      <c r="E768" s="11"/>
    </row>
    <row r="769" ht="15.75" customHeight="1">
      <c r="A769" s="11"/>
      <c r="B769" s="11"/>
      <c r="C769" s="11"/>
      <c r="D769" s="11"/>
      <c r="E769" s="11"/>
    </row>
    <row r="770" ht="15.75" customHeight="1">
      <c r="A770" s="11"/>
      <c r="B770" s="11"/>
      <c r="C770" s="11"/>
      <c r="D770" s="11"/>
      <c r="E770" s="11"/>
    </row>
    <row r="771" ht="15.75" customHeight="1">
      <c r="A771" s="11"/>
      <c r="B771" s="11"/>
      <c r="C771" s="11"/>
      <c r="D771" s="11"/>
      <c r="E771" s="11"/>
    </row>
    <row r="772" ht="15.75" customHeight="1">
      <c r="A772" s="11"/>
      <c r="B772" s="11"/>
      <c r="C772" s="11"/>
      <c r="D772" s="11"/>
      <c r="E772" s="11"/>
    </row>
    <row r="773" ht="15.75" customHeight="1">
      <c r="A773" s="11"/>
      <c r="B773" s="11"/>
      <c r="C773" s="11"/>
      <c r="D773" s="11"/>
      <c r="E773" s="11"/>
    </row>
    <row r="774" ht="15.75" customHeight="1">
      <c r="A774" s="11"/>
      <c r="B774" s="11"/>
      <c r="C774" s="11"/>
      <c r="D774" s="11"/>
      <c r="E774" s="11"/>
    </row>
    <row r="775" ht="15.75" customHeight="1">
      <c r="A775" s="11"/>
      <c r="B775" s="11"/>
      <c r="C775" s="11"/>
      <c r="D775" s="11"/>
      <c r="E775" s="11"/>
    </row>
    <row r="776" ht="15.75" customHeight="1">
      <c r="A776" s="11"/>
      <c r="B776" s="11"/>
      <c r="C776" s="11"/>
      <c r="D776" s="11"/>
      <c r="E776" s="11"/>
    </row>
    <row r="777" ht="15.75" customHeight="1">
      <c r="A777" s="11"/>
      <c r="B777" s="11"/>
      <c r="C777" s="11"/>
      <c r="D777" s="11"/>
      <c r="E777" s="11"/>
    </row>
    <row r="778" ht="15.75" customHeight="1">
      <c r="A778" s="11"/>
      <c r="B778" s="11"/>
      <c r="C778" s="11"/>
      <c r="D778" s="11"/>
      <c r="E778" s="11"/>
    </row>
    <row r="779" ht="15.75" customHeight="1">
      <c r="A779" s="11"/>
      <c r="B779" s="11"/>
      <c r="C779" s="11"/>
      <c r="D779" s="11"/>
      <c r="E779" s="11"/>
    </row>
    <row r="780" ht="15.75" customHeight="1">
      <c r="A780" s="11"/>
      <c r="B780" s="11"/>
      <c r="C780" s="11"/>
      <c r="D780" s="11"/>
      <c r="E780" s="11"/>
    </row>
    <row r="781" ht="15.75" customHeight="1">
      <c r="A781" s="11"/>
      <c r="B781" s="11"/>
      <c r="C781" s="11"/>
      <c r="D781" s="11"/>
      <c r="E781" s="11"/>
    </row>
    <row r="782" ht="15.75" customHeight="1">
      <c r="A782" s="11"/>
      <c r="B782" s="11"/>
      <c r="C782" s="11"/>
      <c r="D782" s="11"/>
      <c r="E782" s="11"/>
    </row>
    <row r="783" ht="15.75" customHeight="1">
      <c r="A783" s="11"/>
      <c r="B783" s="11"/>
      <c r="C783" s="11"/>
      <c r="D783" s="11"/>
      <c r="E783" s="11"/>
    </row>
    <row r="784" ht="15.75" customHeight="1">
      <c r="A784" s="11"/>
      <c r="B784" s="11"/>
      <c r="C784" s="11"/>
      <c r="D784" s="11"/>
      <c r="E784" s="11"/>
    </row>
    <row r="785" ht="15.75" customHeight="1">
      <c r="A785" s="11"/>
      <c r="B785" s="11"/>
      <c r="C785" s="11"/>
      <c r="D785" s="11"/>
      <c r="E785" s="11"/>
    </row>
    <row r="786" ht="15.75" customHeight="1">
      <c r="A786" s="11"/>
      <c r="B786" s="11"/>
      <c r="C786" s="11"/>
      <c r="D786" s="11"/>
      <c r="E786" s="11"/>
    </row>
    <row r="787" ht="15.75" customHeight="1">
      <c r="A787" s="11"/>
      <c r="B787" s="11"/>
      <c r="C787" s="11"/>
      <c r="D787" s="11"/>
      <c r="E787" s="11"/>
    </row>
    <row r="788" ht="15.75" customHeight="1">
      <c r="A788" s="11"/>
      <c r="B788" s="11"/>
      <c r="C788" s="11"/>
      <c r="D788" s="11"/>
      <c r="E788" s="11"/>
    </row>
    <row r="789" ht="15.75" customHeight="1">
      <c r="A789" s="11"/>
      <c r="B789" s="11"/>
      <c r="C789" s="11"/>
      <c r="D789" s="11"/>
      <c r="E789" s="11"/>
    </row>
    <row r="790" ht="15.75" customHeight="1">
      <c r="A790" s="11"/>
      <c r="B790" s="11"/>
      <c r="C790" s="11"/>
      <c r="D790" s="11"/>
      <c r="E790" s="11"/>
    </row>
    <row r="791" ht="15.75" customHeight="1">
      <c r="A791" s="11"/>
      <c r="B791" s="11"/>
      <c r="C791" s="11"/>
      <c r="D791" s="11"/>
      <c r="E791" s="11"/>
    </row>
    <row r="792" ht="15.75" customHeight="1">
      <c r="A792" s="11"/>
      <c r="B792" s="11"/>
      <c r="C792" s="11"/>
      <c r="D792" s="11"/>
      <c r="E792" s="11"/>
    </row>
    <row r="793" ht="15.75" customHeight="1">
      <c r="A793" s="11"/>
      <c r="B793" s="11"/>
      <c r="C793" s="11"/>
      <c r="D793" s="11"/>
      <c r="E793" s="11"/>
    </row>
    <row r="794" ht="15.75" customHeight="1">
      <c r="A794" s="11"/>
      <c r="B794" s="11"/>
      <c r="C794" s="11"/>
      <c r="D794" s="11"/>
      <c r="E794" s="11"/>
    </row>
    <row r="795" ht="15.75" customHeight="1">
      <c r="A795" s="11"/>
      <c r="B795" s="11"/>
      <c r="C795" s="11"/>
      <c r="D795" s="11"/>
      <c r="E795" s="11"/>
    </row>
    <row r="796" ht="15.75" customHeight="1">
      <c r="A796" s="11"/>
      <c r="B796" s="11"/>
      <c r="C796" s="11"/>
      <c r="D796" s="11"/>
      <c r="E796" s="11"/>
    </row>
    <row r="797" ht="15.75" customHeight="1">
      <c r="A797" s="11"/>
      <c r="B797" s="11"/>
      <c r="C797" s="11"/>
      <c r="D797" s="11"/>
      <c r="E797" s="11"/>
    </row>
    <row r="798" ht="15.75" customHeight="1">
      <c r="A798" s="11"/>
      <c r="B798" s="11"/>
      <c r="C798" s="11"/>
      <c r="D798" s="11"/>
      <c r="E798" s="11"/>
    </row>
    <row r="799" ht="15.75" customHeight="1">
      <c r="A799" s="11"/>
      <c r="B799" s="11"/>
      <c r="C799" s="11"/>
      <c r="D799" s="11"/>
      <c r="E799" s="11"/>
    </row>
    <row r="800" ht="15.75" customHeight="1">
      <c r="A800" s="11"/>
      <c r="B800" s="11"/>
      <c r="C800" s="11"/>
      <c r="D800" s="11"/>
      <c r="E800" s="11"/>
    </row>
    <row r="801" ht="15.75" customHeight="1">
      <c r="A801" s="11"/>
      <c r="B801" s="11"/>
      <c r="C801" s="11"/>
      <c r="D801" s="11"/>
      <c r="E801" s="11"/>
    </row>
    <row r="802" ht="15.75" customHeight="1">
      <c r="A802" s="11"/>
      <c r="B802" s="11"/>
      <c r="C802" s="11"/>
      <c r="D802" s="11"/>
      <c r="E802" s="11"/>
    </row>
    <row r="803" ht="15.75" customHeight="1">
      <c r="A803" s="11"/>
      <c r="B803" s="11"/>
      <c r="C803" s="11"/>
      <c r="D803" s="11"/>
      <c r="E803" s="11"/>
    </row>
    <row r="804" ht="15.75" customHeight="1">
      <c r="A804" s="11"/>
      <c r="B804" s="11"/>
      <c r="C804" s="11"/>
      <c r="D804" s="11"/>
      <c r="E804" s="11"/>
    </row>
    <row r="805" ht="15.75" customHeight="1">
      <c r="A805" s="11"/>
      <c r="B805" s="11"/>
      <c r="C805" s="11"/>
      <c r="D805" s="11"/>
      <c r="E805" s="11"/>
    </row>
    <row r="806" ht="15.75" customHeight="1">
      <c r="A806" s="11"/>
      <c r="B806" s="11"/>
      <c r="C806" s="11"/>
      <c r="D806" s="11"/>
      <c r="E806" s="11"/>
    </row>
    <row r="807" ht="15.75" customHeight="1">
      <c r="A807" s="11"/>
      <c r="B807" s="11"/>
      <c r="C807" s="11"/>
      <c r="D807" s="11"/>
      <c r="E807" s="11"/>
    </row>
    <row r="808" ht="15.75" customHeight="1">
      <c r="A808" s="11"/>
      <c r="B808" s="11"/>
      <c r="C808" s="11"/>
      <c r="D808" s="11"/>
      <c r="E808" s="11"/>
    </row>
    <row r="809" ht="15.75" customHeight="1">
      <c r="A809" s="11"/>
      <c r="B809" s="11"/>
      <c r="C809" s="11"/>
      <c r="D809" s="11"/>
      <c r="E809" s="11"/>
    </row>
    <row r="810" ht="15.75" customHeight="1">
      <c r="A810" s="11"/>
      <c r="B810" s="11"/>
      <c r="C810" s="11"/>
      <c r="D810" s="11"/>
      <c r="E810" s="11"/>
    </row>
    <row r="811" ht="15.75" customHeight="1">
      <c r="A811" s="11"/>
      <c r="B811" s="11"/>
      <c r="C811" s="11"/>
      <c r="D811" s="11"/>
      <c r="E811" s="11"/>
    </row>
    <row r="812" ht="15.75" customHeight="1">
      <c r="A812" s="11"/>
      <c r="B812" s="11"/>
      <c r="C812" s="11"/>
      <c r="D812" s="11"/>
      <c r="E812" s="11"/>
    </row>
    <row r="813" ht="15.75" customHeight="1">
      <c r="A813" s="11"/>
      <c r="B813" s="11"/>
      <c r="C813" s="11"/>
      <c r="D813" s="11"/>
      <c r="E813" s="11"/>
    </row>
    <row r="814" ht="15.75" customHeight="1">
      <c r="A814" s="11"/>
      <c r="B814" s="11"/>
      <c r="C814" s="11"/>
      <c r="D814" s="11"/>
      <c r="E814" s="11"/>
    </row>
    <row r="815" ht="15.75" customHeight="1">
      <c r="A815" s="11"/>
      <c r="B815" s="11"/>
      <c r="C815" s="11"/>
      <c r="D815" s="11"/>
      <c r="E815" s="11"/>
    </row>
    <row r="816" ht="15.75" customHeight="1">
      <c r="A816" s="11"/>
      <c r="B816" s="11"/>
      <c r="C816" s="11"/>
      <c r="D816" s="11"/>
      <c r="E816" s="11"/>
    </row>
    <row r="817" ht="15.75" customHeight="1">
      <c r="A817" s="11"/>
      <c r="B817" s="11"/>
      <c r="C817" s="11"/>
      <c r="D817" s="11"/>
      <c r="E817" s="11"/>
    </row>
    <row r="818" ht="15.75" customHeight="1">
      <c r="A818" s="11"/>
      <c r="B818" s="11"/>
      <c r="C818" s="11"/>
      <c r="D818" s="11"/>
      <c r="E818" s="11"/>
    </row>
    <row r="819" ht="15.75" customHeight="1">
      <c r="A819" s="11"/>
      <c r="B819" s="11"/>
      <c r="C819" s="11"/>
      <c r="D819" s="11"/>
      <c r="E819" s="11"/>
    </row>
    <row r="820" ht="15.75" customHeight="1">
      <c r="A820" s="11"/>
      <c r="B820" s="11"/>
      <c r="C820" s="11"/>
      <c r="D820" s="11"/>
      <c r="E820" s="11"/>
    </row>
    <row r="821" ht="15.75" customHeight="1">
      <c r="A821" s="11"/>
      <c r="B821" s="11"/>
      <c r="C821" s="11"/>
      <c r="D821" s="11"/>
      <c r="E821" s="11"/>
    </row>
    <row r="822" ht="15.75" customHeight="1">
      <c r="A822" s="11"/>
      <c r="B822" s="11"/>
      <c r="C822" s="11"/>
      <c r="D822" s="11"/>
      <c r="E822" s="11"/>
    </row>
    <row r="823" ht="15.75" customHeight="1">
      <c r="A823" s="11"/>
      <c r="B823" s="11"/>
      <c r="C823" s="11"/>
      <c r="D823" s="11"/>
      <c r="E823" s="11"/>
    </row>
    <row r="824" ht="15.75" customHeight="1">
      <c r="A824" s="11"/>
      <c r="B824" s="11"/>
      <c r="C824" s="11"/>
      <c r="D824" s="11"/>
      <c r="E824" s="11"/>
    </row>
    <row r="825" ht="15.75" customHeight="1">
      <c r="A825" s="11"/>
      <c r="B825" s="11"/>
      <c r="C825" s="11"/>
      <c r="D825" s="11"/>
      <c r="E825" s="11"/>
    </row>
    <row r="826" ht="15.75" customHeight="1">
      <c r="A826" s="11"/>
      <c r="B826" s="11"/>
      <c r="C826" s="11"/>
      <c r="D826" s="11"/>
      <c r="E826" s="11"/>
    </row>
    <row r="827" ht="15.75" customHeight="1">
      <c r="A827" s="11"/>
      <c r="B827" s="11"/>
      <c r="C827" s="11"/>
      <c r="D827" s="11"/>
      <c r="E827" s="11"/>
    </row>
    <row r="828" ht="15.75" customHeight="1">
      <c r="A828" s="11"/>
      <c r="B828" s="11"/>
      <c r="C828" s="11"/>
      <c r="D828" s="11"/>
      <c r="E828" s="11"/>
    </row>
    <row r="829" ht="15.75" customHeight="1">
      <c r="A829" s="11"/>
      <c r="B829" s="11"/>
      <c r="C829" s="11"/>
      <c r="D829" s="11"/>
      <c r="E829" s="11"/>
    </row>
    <row r="830" ht="15.75" customHeight="1">
      <c r="A830" s="11"/>
      <c r="B830" s="11"/>
      <c r="C830" s="11"/>
      <c r="D830" s="11"/>
      <c r="E830" s="11"/>
    </row>
    <row r="831" ht="15.75" customHeight="1">
      <c r="A831" s="11"/>
      <c r="B831" s="11"/>
      <c r="C831" s="11"/>
      <c r="D831" s="11"/>
      <c r="E831" s="11"/>
    </row>
    <row r="832" ht="15.75" customHeight="1">
      <c r="A832" s="11"/>
      <c r="B832" s="11"/>
      <c r="C832" s="11"/>
      <c r="D832" s="11"/>
      <c r="E832" s="11"/>
    </row>
    <row r="833" ht="15.75" customHeight="1">
      <c r="A833" s="11"/>
      <c r="B833" s="11"/>
      <c r="C833" s="11"/>
      <c r="D833" s="11"/>
      <c r="E833" s="11"/>
    </row>
    <row r="834" ht="15.75" customHeight="1">
      <c r="A834" s="11"/>
      <c r="B834" s="11"/>
      <c r="C834" s="11"/>
      <c r="D834" s="11"/>
      <c r="E834" s="11"/>
    </row>
    <row r="835" ht="15.75" customHeight="1">
      <c r="A835" s="11"/>
      <c r="B835" s="11"/>
      <c r="C835" s="11"/>
      <c r="D835" s="11"/>
      <c r="E835" s="11"/>
    </row>
    <row r="836" ht="15.75" customHeight="1">
      <c r="A836" s="11"/>
      <c r="B836" s="11"/>
      <c r="C836" s="11"/>
      <c r="D836" s="11"/>
      <c r="E836" s="11"/>
    </row>
    <row r="837" ht="15.75" customHeight="1">
      <c r="A837" s="11"/>
      <c r="B837" s="11"/>
      <c r="C837" s="11"/>
      <c r="D837" s="11"/>
      <c r="E837" s="11"/>
    </row>
    <row r="838" ht="15.75" customHeight="1">
      <c r="A838" s="11"/>
      <c r="B838" s="11"/>
      <c r="C838" s="11"/>
      <c r="D838" s="11"/>
      <c r="E838" s="11"/>
    </row>
    <row r="839" ht="15.75" customHeight="1">
      <c r="A839" s="11"/>
      <c r="B839" s="11"/>
      <c r="C839" s="11"/>
      <c r="D839" s="11"/>
      <c r="E839" s="11"/>
    </row>
    <row r="840" ht="15.75" customHeight="1">
      <c r="A840" s="11"/>
      <c r="B840" s="11"/>
      <c r="C840" s="11"/>
      <c r="D840" s="11"/>
      <c r="E840" s="11"/>
    </row>
    <row r="841" ht="15.75" customHeight="1">
      <c r="A841" s="11"/>
      <c r="B841" s="11"/>
      <c r="C841" s="11"/>
      <c r="D841" s="11"/>
      <c r="E841" s="11"/>
    </row>
    <row r="842" ht="15.75" customHeight="1">
      <c r="A842" s="11"/>
      <c r="B842" s="11"/>
      <c r="C842" s="11"/>
      <c r="D842" s="11"/>
      <c r="E842" s="11"/>
    </row>
    <row r="843" ht="15.75" customHeight="1">
      <c r="A843" s="11"/>
      <c r="B843" s="11"/>
      <c r="C843" s="11"/>
      <c r="D843" s="11"/>
      <c r="E843" s="11"/>
    </row>
    <row r="844" ht="15.75" customHeight="1">
      <c r="A844" s="11"/>
      <c r="B844" s="11"/>
      <c r="C844" s="11"/>
      <c r="D844" s="11"/>
      <c r="E844" s="11"/>
    </row>
    <row r="845" ht="15.75" customHeight="1">
      <c r="A845" s="11"/>
      <c r="B845" s="11"/>
      <c r="C845" s="11"/>
      <c r="D845" s="11"/>
      <c r="E845" s="11"/>
    </row>
    <row r="846" ht="15.75" customHeight="1">
      <c r="A846" s="11"/>
      <c r="B846" s="11"/>
      <c r="C846" s="11"/>
      <c r="D846" s="11"/>
      <c r="E846" s="11"/>
    </row>
    <row r="847" ht="15.75" customHeight="1">
      <c r="A847" s="11"/>
      <c r="B847" s="11"/>
      <c r="C847" s="11"/>
      <c r="D847" s="11"/>
      <c r="E847" s="11"/>
    </row>
    <row r="848" ht="15.75" customHeight="1">
      <c r="A848" s="11"/>
      <c r="B848" s="11"/>
      <c r="C848" s="11"/>
      <c r="D848" s="11"/>
      <c r="E848" s="11"/>
    </row>
    <row r="849" ht="15.75" customHeight="1">
      <c r="A849" s="11"/>
      <c r="B849" s="11"/>
      <c r="C849" s="11"/>
      <c r="D849" s="11"/>
      <c r="E849" s="11"/>
    </row>
    <row r="850" ht="15.75" customHeight="1">
      <c r="A850" s="11"/>
      <c r="B850" s="11"/>
      <c r="C850" s="11"/>
      <c r="D850" s="11"/>
      <c r="E850" s="11"/>
    </row>
    <row r="851" ht="15.75" customHeight="1">
      <c r="A851" s="11"/>
      <c r="B851" s="11"/>
      <c r="C851" s="11"/>
      <c r="D851" s="11"/>
      <c r="E851" s="11"/>
    </row>
    <row r="852" ht="15.75" customHeight="1">
      <c r="A852" s="11"/>
      <c r="B852" s="11"/>
      <c r="C852" s="11"/>
      <c r="D852" s="11"/>
      <c r="E852" s="11"/>
    </row>
    <row r="853" ht="15.75" customHeight="1">
      <c r="A853" s="11"/>
      <c r="B853" s="11"/>
      <c r="C853" s="11"/>
      <c r="D853" s="11"/>
      <c r="E853" s="11"/>
    </row>
    <row r="854" ht="15.75" customHeight="1">
      <c r="A854" s="11"/>
      <c r="B854" s="11"/>
      <c r="C854" s="11"/>
      <c r="D854" s="11"/>
      <c r="E854" s="11"/>
    </row>
    <row r="855" ht="15.75" customHeight="1">
      <c r="A855" s="11"/>
      <c r="B855" s="11"/>
      <c r="C855" s="11"/>
      <c r="D855" s="11"/>
      <c r="E855" s="11"/>
    </row>
    <row r="856" ht="15.75" customHeight="1">
      <c r="A856" s="11"/>
      <c r="B856" s="11"/>
      <c r="C856" s="11"/>
      <c r="D856" s="11"/>
      <c r="E856" s="11"/>
    </row>
    <row r="857" ht="15.75" customHeight="1">
      <c r="A857" s="11"/>
      <c r="B857" s="11"/>
      <c r="C857" s="11"/>
      <c r="D857" s="11"/>
      <c r="E857" s="11"/>
    </row>
    <row r="858" ht="15.75" customHeight="1">
      <c r="A858" s="11"/>
      <c r="B858" s="11"/>
      <c r="C858" s="11"/>
      <c r="D858" s="11"/>
      <c r="E858" s="11"/>
    </row>
    <row r="859" ht="15.75" customHeight="1">
      <c r="A859" s="11"/>
      <c r="B859" s="11"/>
      <c r="C859" s="11"/>
      <c r="D859" s="11"/>
      <c r="E859" s="11"/>
    </row>
    <row r="860" ht="15.75" customHeight="1">
      <c r="A860" s="11"/>
      <c r="B860" s="11"/>
      <c r="C860" s="11"/>
      <c r="D860" s="11"/>
      <c r="E860" s="11"/>
    </row>
    <row r="861" ht="15.75" customHeight="1">
      <c r="A861" s="11"/>
      <c r="B861" s="11"/>
      <c r="C861" s="11"/>
      <c r="D861" s="11"/>
      <c r="E861" s="11"/>
    </row>
    <row r="862" ht="15.75" customHeight="1">
      <c r="A862" s="11"/>
      <c r="B862" s="11"/>
      <c r="C862" s="11"/>
      <c r="D862" s="11"/>
      <c r="E862" s="11"/>
    </row>
    <row r="863" ht="15.75" customHeight="1">
      <c r="A863" s="11"/>
      <c r="B863" s="11"/>
      <c r="C863" s="11"/>
      <c r="D863" s="11"/>
      <c r="E863" s="11"/>
    </row>
    <row r="864" ht="15.75" customHeight="1">
      <c r="A864" s="11"/>
      <c r="B864" s="11"/>
      <c r="C864" s="11"/>
      <c r="D864" s="11"/>
      <c r="E864" s="11"/>
    </row>
    <row r="865" ht="15.75" customHeight="1">
      <c r="A865" s="11"/>
      <c r="B865" s="11"/>
      <c r="C865" s="11"/>
      <c r="D865" s="11"/>
      <c r="E865" s="11"/>
    </row>
    <row r="866" ht="15.75" customHeight="1">
      <c r="A866" s="11"/>
      <c r="B866" s="11"/>
      <c r="C866" s="11"/>
      <c r="D866" s="11"/>
      <c r="E866" s="11"/>
    </row>
    <row r="867" ht="15.75" customHeight="1">
      <c r="A867" s="11"/>
      <c r="B867" s="11"/>
      <c r="C867" s="11"/>
      <c r="D867" s="11"/>
      <c r="E867" s="11"/>
    </row>
    <row r="868" ht="15.75" customHeight="1">
      <c r="A868" s="11"/>
      <c r="B868" s="11"/>
      <c r="C868" s="11"/>
      <c r="D868" s="11"/>
      <c r="E868" s="11"/>
    </row>
    <row r="869" ht="15.75" customHeight="1">
      <c r="A869" s="11"/>
      <c r="B869" s="11"/>
      <c r="C869" s="11"/>
      <c r="D869" s="11"/>
      <c r="E869" s="11"/>
    </row>
    <row r="870" ht="15.75" customHeight="1">
      <c r="A870" s="11"/>
      <c r="B870" s="11"/>
      <c r="C870" s="11"/>
      <c r="D870" s="11"/>
      <c r="E870" s="11"/>
    </row>
    <row r="871" ht="15.75" customHeight="1">
      <c r="A871" s="11"/>
      <c r="B871" s="11"/>
      <c r="C871" s="11"/>
      <c r="D871" s="11"/>
      <c r="E871" s="11"/>
    </row>
    <row r="872" ht="15.75" customHeight="1">
      <c r="A872" s="11"/>
      <c r="B872" s="11"/>
      <c r="C872" s="11"/>
      <c r="D872" s="11"/>
      <c r="E872" s="11"/>
    </row>
    <row r="873" ht="15.75" customHeight="1">
      <c r="A873" s="11"/>
      <c r="B873" s="11"/>
      <c r="C873" s="11"/>
      <c r="D873" s="11"/>
      <c r="E873" s="11"/>
    </row>
    <row r="874" ht="15.75" customHeight="1">
      <c r="A874" s="11"/>
      <c r="B874" s="11"/>
      <c r="C874" s="11"/>
      <c r="D874" s="11"/>
      <c r="E874" s="11"/>
    </row>
    <row r="875" ht="15.75" customHeight="1">
      <c r="A875" s="11"/>
      <c r="B875" s="11"/>
      <c r="C875" s="11"/>
      <c r="D875" s="11"/>
      <c r="E875" s="11"/>
    </row>
    <row r="876" ht="15.75" customHeight="1">
      <c r="A876" s="11"/>
      <c r="B876" s="11"/>
      <c r="C876" s="11"/>
      <c r="D876" s="11"/>
      <c r="E876" s="11"/>
    </row>
    <row r="877" ht="15.75" customHeight="1">
      <c r="A877" s="11"/>
      <c r="B877" s="11"/>
      <c r="C877" s="11"/>
      <c r="D877" s="11"/>
      <c r="E877" s="11"/>
    </row>
    <row r="878" ht="15.75" customHeight="1">
      <c r="A878" s="11"/>
      <c r="B878" s="11"/>
      <c r="C878" s="11"/>
      <c r="D878" s="11"/>
      <c r="E878" s="11"/>
    </row>
    <row r="879" ht="15.75" customHeight="1">
      <c r="A879" s="11"/>
      <c r="B879" s="11"/>
      <c r="C879" s="11"/>
      <c r="D879" s="11"/>
      <c r="E879" s="11"/>
    </row>
    <row r="880" ht="15.75" customHeight="1">
      <c r="A880" s="11"/>
      <c r="B880" s="11"/>
      <c r="C880" s="11"/>
      <c r="D880" s="11"/>
      <c r="E880" s="11"/>
    </row>
    <row r="881" ht="15.75" customHeight="1">
      <c r="A881" s="11"/>
      <c r="B881" s="11"/>
      <c r="C881" s="11"/>
      <c r="D881" s="11"/>
      <c r="E881" s="11"/>
    </row>
    <row r="882" ht="15.75" customHeight="1">
      <c r="A882" s="11"/>
      <c r="B882" s="11"/>
      <c r="C882" s="11"/>
      <c r="D882" s="11"/>
      <c r="E882" s="11"/>
    </row>
    <row r="883" ht="15.75" customHeight="1">
      <c r="A883" s="11"/>
      <c r="B883" s="11"/>
      <c r="C883" s="11"/>
      <c r="D883" s="11"/>
      <c r="E883" s="11"/>
    </row>
    <row r="884" ht="15.75" customHeight="1">
      <c r="A884" s="11"/>
      <c r="B884" s="11"/>
      <c r="C884" s="11"/>
      <c r="D884" s="11"/>
      <c r="E884" s="11"/>
    </row>
    <row r="885" ht="15.75" customHeight="1">
      <c r="A885" s="11"/>
      <c r="B885" s="11"/>
      <c r="C885" s="11"/>
      <c r="D885" s="11"/>
      <c r="E885" s="11"/>
    </row>
    <row r="886" ht="15.75" customHeight="1">
      <c r="A886" s="11"/>
      <c r="B886" s="11"/>
      <c r="C886" s="11"/>
      <c r="D886" s="11"/>
      <c r="E886" s="11"/>
    </row>
    <row r="887" ht="15.75" customHeight="1">
      <c r="A887" s="11"/>
      <c r="B887" s="11"/>
      <c r="C887" s="11"/>
      <c r="D887" s="11"/>
      <c r="E887" s="11"/>
    </row>
    <row r="888" ht="15.75" customHeight="1">
      <c r="A888" s="11"/>
      <c r="B888" s="11"/>
      <c r="C888" s="11"/>
      <c r="D888" s="11"/>
      <c r="E888" s="11"/>
    </row>
    <row r="889" ht="15.75" customHeight="1">
      <c r="A889" s="11"/>
      <c r="B889" s="11"/>
      <c r="C889" s="11"/>
      <c r="D889" s="11"/>
      <c r="E889" s="11"/>
    </row>
    <row r="890" ht="15.75" customHeight="1">
      <c r="A890" s="11"/>
      <c r="B890" s="11"/>
      <c r="C890" s="11"/>
      <c r="D890" s="11"/>
      <c r="E890" s="11"/>
    </row>
    <row r="891" ht="15.75" customHeight="1">
      <c r="A891" s="11"/>
      <c r="B891" s="11"/>
      <c r="C891" s="11"/>
      <c r="D891" s="11"/>
      <c r="E891" s="11"/>
    </row>
    <row r="892" ht="15.75" customHeight="1">
      <c r="A892" s="11"/>
      <c r="B892" s="11"/>
      <c r="C892" s="11"/>
      <c r="D892" s="11"/>
      <c r="E892" s="11"/>
    </row>
    <row r="893" ht="15.75" customHeight="1">
      <c r="A893" s="11"/>
      <c r="B893" s="11"/>
      <c r="C893" s="11"/>
      <c r="D893" s="11"/>
      <c r="E893" s="11"/>
    </row>
    <row r="894" ht="15.75" customHeight="1">
      <c r="A894" s="11"/>
      <c r="B894" s="11"/>
      <c r="C894" s="11"/>
      <c r="D894" s="11"/>
      <c r="E894" s="11"/>
    </row>
    <row r="895" ht="15.75" customHeight="1">
      <c r="A895" s="11"/>
      <c r="B895" s="11"/>
      <c r="C895" s="11"/>
      <c r="D895" s="11"/>
      <c r="E895" s="11"/>
    </row>
    <row r="896" ht="15.75" customHeight="1">
      <c r="A896" s="11"/>
      <c r="B896" s="11"/>
      <c r="C896" s="11"/>
      <c r="D896" s="11"/>
      <c r="E896" s="11"/>
    </row>
    <row r="897" ht="15.75" customHeight="1">
      <c r="A897" s="11"/>
      <c r="B897" s="11"/>
      <c r="C897" s="11"/>
      <c r="D897" s="11"/>
      <c r="E897" s="11"/>
    </row>
    <row r="898" ht="15.75" customHeight="1">
      <c r="A898" s="11"/>
      <c r="B898" s="11"/>
      <c r="C898" s="11"/>
      <c r="D898" s="11"/>
      <c r="E898" s="11"/>
    </row>
    <row r="899" ht="15.75" customHeight="1">
      <c r="A899" s="11"/>
      <c r="B899" s="11"/>
      <c r="C899" s="11"/>
      <c r="D899" s="11"/>
      <c r="E899" s="11"/>
    </row>
    <row r="900" ht="15.75" customHeight="1">
      <c r="A900" s="11"/>
      <c r="B900" s="11"/>
      <c r="C900" s="11"/>
      <c r="D900" s="11"/>
      <c r="E900" s="11"/>
    </row>
    <row r="901" ht="15.75" customHeight="1">
      <c r="A901" s="11"/>
      <c r="B901" s="11"/>
      <c r="C901" s="11"/>
      <c r="D901" s="11"/>
      <c r="E901" s="11"/>
    </row>
    <row r="902" ht="15.75" customHeight="1">
      <c r="A902" s="11"/>
      <c r="B902" s="11"/>
      <c r="C902" s="11"/>
      <c r="D902" s="11"/>
      <c r="E902" s="11"/>
    </row>
    <row r="903" ht="15.75" customHeight="1">
      <c r="A903" s="11"/>
      <c r="B903" s="11"/>
      <c r="C903" s="11"/>
      <c r="D903" s="11"/>
      <c r="E903" s="11"/>
    </row>
    <row r="904" ht="15.75" customHeight="1">
      <c r="A904" s="11"/>
      <c r="B904" s="11"/>
      <c r="C904" s="11"/>
      <c r="D904" s="11"/>
      <c r="E904" s="11"/>
    </row>
    <row r="905" ht="15.75" customHeight="1">
      <c r="A905" s="11"/>
      <c r="B905" s="11"/>
      <c r="C905" s="11"/>
      <c r="D905" s="11"/>
      <c r="E905" s="11"/>
    </row>
    <row r="906" ht="15.75" customHeight="1">
      <c r="A906" s="11"/>
      <c r="B906" s="11"/>
      <c r="C906" s="11"/>
      <c r="D906" s="11"/>
      <c r="E906" s="11"/>
    </row>
    <row r="907" ht="15.75" customHeight="1">
      <c r="A907" s="11"/>
      <c r="B907" s="11"/>
      <c r="C907" s="11"/>
      <c r="D907" s="11"/>
      <c r="E907" s="11"/>
    </row>
    <row r="908" ht="15.75" customHeight="1">
      <c r="A908" s="11"/>
      <c r="B908" s="11"/>
      <c r="C908" s="11"/>
      <c r="D908" s="11"/>
      <c r="E908" s="11"/>
    </row>
    <row r="909" ht="15.75" customHeight="1">
      <c r="A909" s="11"/>
      <c r="B909" s="11"/>
      <c r="C909" s="11"/>
      <c r="D909" s="11"/>
      <c r="E909" s="11"/>
    </row>
    <row r="910" ht="15.75" customHeight="1">
      <c r="A910" s="11"/>
      <c r="B910" s="11"/>
      <c r="C910" s="11"/>
      <c r="D910" s="11"/>
      <c r="E910" s="11"/>
    </row>
    <row r="911" ht="15.75" customHeight="1">
      <c r="A911" s="11"/>
      <c r="B911" s="11"/>
      <c r="C911" s="11"/>
      <c r="D911" s="11"/>
      <c r="E911" s="11"/>
    </row>
    <row r="912" ht="15.75" customHeight="1">
      <c r="A912" s="11"/>
      <c r="B912" s="11"/>
      <c r="C912" s="11"/>
      <c r="D912" s="11"/>
      <c r="E912" s="11"/>
    </row>
    <row r="913" ht="15.75" customHeight="1">
      <c r="A913" s="11"/>
      <c r="B913" s="11"/>
      <c r="C913" s="11"/>
      <c r="D913" s="11"/>
      <c r="E913" s="11"/>
    </row>
    <row r="914" ht="15.75" customHeight="1">
      <c r="A914" s="11"/>
      <c r="B914" s="11"/>
      <c r="C914" s="11"/>
      <c r="D914" s="11"/>
      <c r="E914" s="11"/>
    </row>
    <row r="915" ht="15.75" customHeight="1">
      <c r="A915" s="11"/>
      <c r="B915" s="11"/>
      <c r="C915" s="11"/>
      <c r="D915" s="11"/>
      <c r="E915" s="11"/>
    </row>
    <row r="916" ht="15.75" customHeight="1">
      <c r="A916" s="11"/>
      <c r="B916" s="11"/>
      <c r="C916" s="11"/>
      <c r="D916" s="11"/>
      <c r="E916" s="11"/>
    </row>
    <row r="917" ht="15.75" customHeight="1">
      <c r="A917" s="11"/>
      <c r="B917" s="11"/>
      <c r="C917" s="11"/>
      <c r="D917" s="11"/>
      <c r="E917" s="11"/>
    </row>
    <row r="918" ht="15.75" customHeight="1">
      <c r="A918" s="11"/>
      <c r="B918" s="11"/>
      <c r="C918" s="11"/>
      <c r="D918" s="11"/>
      <c r="E918" s="11"/>
    </row>
    <row r="919" ht="15.75" customHeight="1">
      <c r="A919" s="11"/>
      <c r="B919" s="11"/>
      <c r="C919" s="11"/>
      <c r="D919" s="11"/>
      <c r="E919" s="11"/>
    </row>
    <row r="920" ht="15.75" customHeight="1">
      <c r="A920" s="11"/>
      <c r="B920" s="11"/>
      <c r="C920" s="11"/>
      <c r="D920" s="11"/>
      <c r="E920" s="11"/>
    </row>
    <row r="921" ht="15.75" customHeight="1">
      <c r="A921" s="11"/>
      <c r="B921" s="11"/>
      <c r="C921" s="11"/>
      <c r="D921" s="11"/>
      <c r="E921" s="11"/>
    </row>
    <row r="922" ht="15.75" customHeight="1">
      <c r="A922" s="11"/>
      <c r="B922" s="11"/>
      <c r="C922" s="11"/>
      <c r="D922" s="11"/>
      <c r="E922" s="11"/>
    </row>
    <row r="923" ht="15.75" customHeight="1">
      <c r="A923" s="11"/>
      <c r="B923" s="11"/>
      <c r="C923" s="11"/>
      <c r="D923" s="11"/>
      <c r="E923" s="11"/>
    </row>
    <row r="924" ht="15.75" customHeight="1">
      <c r="A924" s="11"/>
      <c r="B924" s="11"/>
      <c r="C924" s="11"/>
      <c r="D924" s="11"/>
      <c r="E924" s="11"/>
    </row>
    <row r="925" ht="15.75" customHeight="1">
      <c r="A925" s="11"/>
      <c r="B925" s="11"/>
      <c r="C925" s="11"/>
      <c r="D925" s="11"/>
      <c r="E925" s="11"/>
    </row>
    <row r="926" ht="15.75" customHeight="1">
      <c r="A926" s="11"/>
      <c r="B926" s="11"/>
      <c r="C926" s="11"/>
      <c r="D926" s="11"/>
      <c r="E926" s="11"/>
    </row>
    <row r="927" ht="15.75" customHeight="1">
      <c r="A927" s="11"/>
      <c r="B927" s="11"/>
      <c r="C927" s="11"/>
      <c r="D927" s="11"/>
      <c r="E927" s="11"/>
    </row>
    <row r="928" ht="15.75" customHeight="1">
      <c r="A928" s="11"/>
      <c r="B928" s="11"/>
      <c r="C928" s="11"/>
      <c r="D928" s="11"/>
      <c r="E928" s="11"/>
    </row>
    <row r="929" ht="15.75" customHeight="1">
      <c r="A929" s="11"/>
      <c r="B929" s="11"/>
      <c r="C929" s="11"/>
      <c r="D929" s="11"/>
      <c r="E929" s="11"/>
    </row>
    <row r="930" ht="15.75" customHeight="1">
      <c r="A930" s="11"/>
      <c r="B930" s="11"/>
      <c r="C930" s="11"/>
      <c r="D930" s="11"/>
      <c r="E930" s="11"/>
    </row>
    <row r="931" ht="15.75" customHeight="1">
      <c r="A931" s="11"/>
      <c r="B931" s="11"/>
      <c r="C931" s="11"/>
      <c r="D931" s="11"/>
      <c r="E931" s="11"/>
    </row>
    <row r="932" ht="15.75" customHeight="1">
      <c r="A932" s="11"/>
      <c r="B932" s="11"/>
      <c r="C932" s="11"/>
      <c r="D932" s="11"/>
      <c r="E932" s="11"/>
    </row>
    <row r="933" ht="15.75" customHeight="1">
      <c r="A933" s="11"/>
      <c r="B933" s="11"/>
      <c r="C933" s="11"/>
      <c r="D933" s="11"/>
      <c r="E933" s="11"/>
    </row>
    <row r="934" ht="15.75" customHeight="1">
      <c r="A934" s="11"/>
      <c r="B934" s="11"/>
      <c r="C934" s="11"/>
      <c r="D934" s="11"/>
      <c r="E934" s="11"/>
    </row>
    <row r="935" ht="15.75" customHeight="1">
      <c r="A935" s="11"/>
      <c r="B935" s="11"/>
      <c r="C935" s="11"/>
      <c r="D935" s="11"/>
      <c r="E935" s="11"/>
    </row>
    <row r="936" ht="15.75" customHeight="1">
      <c r="A936" s="11"/>
      <c r="B936" s="11"/>
      <c r="C936" s="11"/>
      <c r="D936" s="11"/>
      <c r="E936" s="11"/>
    </row>
    <row r="937" ht="15.75" customHeight="1">
      <c r="A937" s="11"/>
      <c r="B937" s="11"/>
      <c r="C937" s="11"/>
      <c r="D937" s="11"/>
      <c r="E937" s="11"/>
    </row>
    <row r="938" ht="15.75" customHeight="1">
      <c r="A938" s="11"/>
      <c r="B938" s="11"/>
      <c r="C938" s="11"/>
      <c r="D938" s="11"/>
      <c r="E938" s="11"/>
    </row>
    <row r="939" ht="15.75" customHeight="1">
      <c r="A939" s="11"/>
      <c r="B939" s="11"/>
      <c r="C939" s="11"/>
      <c r="D939" s="11"/>
      <c r="E939" s="11"/>
    </row>
    <row r="940" ht="15.75" customHeight="1">
      <c r="A940" s="11"/>
      <c r="B940" s="11"/>
      <c r="C940" s="11"/>
      <c r="D940" s="11"/>
      <c r="E940" s="11"/>
    </row>
    <row r="941" ht="15.75" customHeight="1">
      <c r="A941" s="11"/>
      <c r="B941" s="11"/>
      <c r="C941" s="11"/>
      <c r="D941" s="11"/>
      <c r="E941" s="11"/>
    </row>
    <row r="942" ht="15.75" customHeight="1">
      <c r="A942" s="11"/>
      <c r="B942" s="11"/>
      <c r="C942" s="11"/>
      <c r="D942" s="11"/>
      <c r="E942" s="11"/>
    </row>
    <row r="943" ht="15.75" customHeight="1">
      <c r="A943" s="11"/>
      <c r="B943" s="11"/>
      <c r="C943" s="11"/>
      <c r="D943" s="11"/>
      <c r="E943" s="11"/>
    </row>
    <row r="944" ht="15.75" customHeight="1">
      <c r="A944" s="11"/>
      <c r="B944" s="11"/>
      <c r="C944" s="11"/>
      <c r="D944" s="11"/>
      <c r="E944" s="11"/>
    </row>
    <row r="945" ht="15.75" customHeight="1">
      <c r="A945" s="11"/>
      <c r="B945" s="11"/>
      <c r="C945" s="11"/>
      <c r="D945" s="11"/>
      <c r="E945" s="11"/>
    </row>
    <row r="946" ht="15.75" customHeight="1">
      <c r="A946" s="11"/>
      <c r="B946" s="11"/>
      <c r="C946" s="11"/>
      <c r="D946" s="11"/>
      <c r="E946" s="11"/>
    </row>
    <row r="947" ht="15.75" customHeight="1">
      <c r="A947" s="11"/>
      <c r="B947" s="11"/>
      <c r="C947" s="11"/>
      <c r="D947" s="11"/>
      <c r="E947" s="11"/>
    </row>
    <row r="948" ht="15.75" customHeight="1">
      <c r="A948" s="11"/>
      <c r="B948" s="11"/>
      <c r="C948" s="11"/>
      <c r="D948" s="11"/>
      <c r="E948" s="11"/>
    </row>
    <row r="949" ht="15.75" customHeight="1">
      <c r="A949" s="11"/>
      <c r="B949" s="11"/>
      <c r="C949" s="11"/>
      <c r="D949" s="11"/>
      <c r="E949" s="11"/>
    </row>
    <row r="950" ht="15.75" customHeight="1">
      <c r="A950" s="11"/>
      <c r="B950" s="11"/>
      <c r="C950" s="11"/>
      <c r="D950" s="11"/>
      <c r="E950" s="11"/>
    </row>
    <row r="951" ht="15.75" customHeight="1">
      <c r="A951" s="11"/>
      <c r="B951" s="11"/>
      <c r="C951" s="11"/>
      <c r="D951" s="11"/>
      <c r="E951" s="11"/>
    </row>
    <row r="952" ht="15.75" customHeight="1">
      <c r="A952" s="11"/>
      <c r="B952" s="11"/>
      <c r="C952" s="11"/>
      <c r="D952" s="11"/>
      <c r="E952" s="11"/>
    </row>
    <row r="953" ht="15.75" customHeight="1">
      <c r="A953" s="11"/>
      <c r="B953" s="11"/>
      <c r="C953" s="11"/>
      <c r="D953" s="11"/>
      <c r="E953" s="11"/>
    </row>
    <row r="954" ht="15.75" customHeight="1">
      <c r="A954" s="11"/>
      <c r="B954" s="11"/>
      <c r="C954" s="11"/>
      <c r="D954" s="11"/>
      <c r="E954" s="11"/>
    </row>
    <row r="955" ht="15.75" customHeight="1">
      <c r="A955" s="11"/>
      <c r="B955" s="11"/>
      <c r="C955" s="11"/>
      <c r="D955" s="11"/>
      <c r="E955" s="11"/>
    </row>
    <row r="956" ht="15.75" customHeight="1">
      <c r="A956" s="11"/>
      <c r="B956" s="11"/>
      <c r="C956" s="11"/>
      <c r="D956" s="11"/>
      <c r="E956" s="11"/>
    </row>
    <row r="957" ht="15.75" customHeight="1">
      <c r="A957" s="11"/>
      <c r="B957" s="11"/>
      <c r="C957" s="11"/>
      <c r="D957" s="11"/>
      <c r="E957" s="11"/>
    </row>
    <row r="958" ht="15.75" customHeight="1">
      <c r="A958" s="11"/>
      <c r="B958" s="11"/>
      <c r="C958" s="11"/>
      <c r="D958" s="11"/>
      <c r="E958" s="11"/>
    </row>
    <row r="959" ht="15.75" customHeight="1">
      <c r="A959" s="11"/>
      <c r="B959" s="11"/>
      <c r="C959" s="11"/>
      <c r="D959" s="11"/>
      <c r="E959" s="11"/>
    </row>
    <row r="960" ht="15.75" customHeight="1">
      <c r="A960" s="11"/>
      <c r="B960" s="11"/>
      <c r="C960" s="11"/>
      <c r="D960" s="11"/>
      <c r="E960" s="11"/>
    </row>
    <row r="961" ht="15.75" customHeight="1">
      <c r="A961" s="11"/>
      <c r="B961" s="11"/>
      <c r="C961" s="11"/>
      <c r="D961" s="11"/>
      <c r="E961" s="11"/>
    </row>
    <row r="962" ht="15.75" customHeight="1">
      <c r="A962" s="11"/>
      <c r="B962" s="11"/>
      <c r="C962" s="11"/>
      <c r="D962" s="11"/>
      <c r="E962" s="11"/>
    </row>
    <row r="963" ht="15.75" customHeight="1">
      <c r="A963" s="11"/>
      <c r="B963" s="11"/>
      <c r="C963" s="11"/>
      <c r="D963" s="11"/>
      <c r="E963" s="11"/>
    </row>
    <row r="964" ht="15.75" customHeight="1">
      <c r="A964" s="11"/>
      <c r="B964" s="11"/>
      <c r="C964" s="11"/>
      <c r="D964" s="11"/>
      <c r="E964" s="11"/>
    </row>
    <row r="965" ht="15.75" customHeight="1">
      <c r="A965" s="11"/>
      <c r="B965" s="11"/>
      <c r="C965" s="11"/>
      <c r="D965" s="11"/>
      <c r="E965" s="11"/>
    </row>
    <row r="966" ht="15.75" customHeight="1">
      <c r="A966" s="11"/>
      <c r="B966" s="11"/>
      <c r="C966" s="11"/>
      <c r="D966" s="11"/>
      <c r="E966" s="11"/>
    </row>
    <row r="967" ht="15.75" customHeight="1">
      <c r="A967" s="11"/>
      <c r="B967" s="11"/>
      <c r="C967" s="11"/>
      <c r="D967" s="11"/>
      <c r="E967" s="11"/>
    </row>
    <row r="968" ht="15.75" customHeight="1">
      <c r="A968" s="11"/>
      <c r="B968" s="11"/>
      <c r="C968" s="11"/>
      <c r="D968" s="11"/>
      <c r="E968" s="11"/>
    </row>
    <row r="969" ht="15.75" customHeight="1">
      <c r="A969" s="11"/>
      <c r="B969" s="11"/>
      <c r="C969" s="11"/>
      <c r="D969" s="11"/>
      <c r="E969" s="11"/>
    </row>
    <row r="970" ht="15.75" customHeight="1">
      <c r="A970" s="11"/>
      <c r="B970" s="11"/>
      <c r="C970" s="11"/>
      <c r="D970" s="11"/>
      <c r="E970" s="11"/>
    </row>
    <row r="971" ht="15.75" customHeight="1">
      <c r="A971" s="11"/>
      <c r="B971" s="11"/>
      <c r="C971" s="11"/>
      <c r="D971" s="11"/>
      <c r="E971" s="11"/>
    </row>
    <row r="972" ht="15.75" customHeight="1">
      <c r="A972" s="11"/>
      <c r="B972" s="11"/>
      <c r="C972" s="11"/>
      <c r="D972" s="11"/>
      <c r="E972" s="11"/>
    </row>
    <row r="973" ht="15.75" customHeight="1">
      <c r="A973" s="11"/>
      <c r="B973" s="11"/>
      <c r="C973" s="11"/>
      <c r="D973" s="11"/>
      <c r="E973" s="11"/>
    </row>
    <row r="974" ht="15.75" customHeight="1">
      <c r="A974" s="11"/>
      <c r="B974" s="11"/>
      <c r="C974" s="11"/>
      <c r="D974" s="11"/>
      <c r="E974" s="11"/>
    </row>
    <row r="975" ht="15.75" customHeight="1">
      <c r="A975" s="11"/>
      <c r="B975" s="11"/>
      <c r="C975" s="11"/>
      <c r="D975" s="11"/>
      <c r="E975" s="11"/>
    </row>
    <row r="976" ht="15.75" customHeight="1">
      <c r="A976" s="11"/>
      <c r="B976" s="11"/>
      <c r="C976" s="11"/>
      <c r="D976" s="11"/>
      <c r="E976" s="11"/>
    </row>
    <row r="977" ht="15.75" customHeight="1">
      <c r="A977" s="11"/>
      <c r="B977" s="11"/>
      <c r="C977" s="11"/>
      <c r="D977" s="11"/>
      <c r="E977" s="11"/>
    </row>
    <row r="978" ht="15.75" customHeight="1">
      <c r="A978" s="11"/>
      <c r="B978" s="11"/>
      <c r="C978" s="11"/>
      <c r="D978" s="11"/>
      <c r="E978" s="11"/>
    </row>
    <row r="979" ht="15.75" customHeight="1">
      <c r="A979" s="11"/>
      <c r="B979" s="11"/>
      <c r="C979" s="11"/>
      <c r="D979" s="11"/>
      <c r="E979" s="11"/>
    </row>
    <row r="980" ht="15.75" customHeight="1">
      <c r="A980" s="11"/>
      <c r="B980" s="11"/>
      <c r="C980" s="11"/>
      <c r="D980" s="11"/>
      <c r="E980" s="11"/>
    </row>
    <row r="981" ht="15.75" customHeight="1">
      <c r="A981" s="11"/>
      <c r="B981" s="11"/>
      <c r="C981" s="11"/>
      <c r="D981" s="11"/>
      <c r="E981" s="11"/>
    </row>
    <row r="982" ht="15.75" customHeight="1">
      <c r="A982" s="11"/>
      <c r="B982" s="11"/>
      <c r="C982" s="11"/>
      <c r="D982" s="11"/>
      <c r="E982" s="11"/>
    </row>
    <row r="983" ht="15.75" customHeight="1">
      <c r="A983" s="11"/>
      <c r="B983" s="11"/>
      <c r="C983" s="11"/>
      <c r="D983" s="11"/>
      <c r="E983" s="11"/>
    </row>
    <row r="984" ht="15.75" customHeight="1">
      <c r="A984" s="11"/>
      <c r="B984" s="11"/>
      <c r="C984" s="11"/>
      <c r="D984" s="11"/>
      <c r="E984" s="11"/>
    </row>
    <row r="985" ht="15.75" customHeight="1">
      <c r="A985" s="11"/>
      <c r="B985" s="11"/>
      <c r="C985" s="11"/>
      <c r="D985" s="11"/>
      <c r="E985" s="11"/>
    </row>
    <row r="986" ht="15.75" customHeight="1">
      <c r="A986" s="11"/>
      <c r="B986" s="11"/>
      <c r="C986" s="11"/>
      <c r="D986" s="11"/>
      <c r="E986" s="11"/>
    </row>
    <row r="987" ht="15.75" customHeight="1">
      <c r="A987" s="11"/>
      <c r="B987" s="11"/>
      <c r="C987" s="11"/>
      <c r="D987" s="11"/>
      <c r="E987" s="11"/>
    </row>
    <row r="988" ht="15.75" customHeight="1">
      <c r="A988" s="11"/>
      <c r="B988" s="11"/>
      <c r="C988" s="11"/>
      <c r="D988" s="11"/>
      <c r="E988" s="11"/>
    </row>
    <row r="989" ht="15.75" customHeight="1">
      <c r="A989" s="11"/>
      <c r="B989" s="11"/>
      <c r="C989" s="11"/>
      <c r="D989" s="11"/>
      <c r="E989" s="11"/>
    </row>
    <row r="990" ht="15.75" customHeight="1">
      <c r="A990" s="11"/>
      <c r="B990" s="11"/>
      <c r="C990" s="11"/>
      <c r="D990" s="11"/>
      <c r="E990" s="11"/>
    </row>
    <row r="991" ht="15.75" customHeight="1">
      <c r="A991" s="11"/>
      <c r="B991" s="11"/>
      <c r="C991" s="11"/>
      <c r="D991" s="11"/>
      <c r="E991" s="11"/>
    </row>
    <row r="992" ht="15.75" customHeight="1">
      <c r="A992" s="11"/>
      <c r="B992" s="11"/>
      <c r="C992" s="11"/>
      <c r="D992" s="11"/>
      <c r="E992" s="11"/>
    </row>
    <row r="993" ht="15.75" customHeight="1">
      <c r="A993" s="11"/>
      <c r="B993" s="11"/>
      <c r="C993" s="11"/>
      <c r="D993" s="11"/>
      <c r="E993" s="11"/>
    </row>
    <row r="994" ht="15.75" customHeight="1">
      <c r="A994" s="11"/>
      <c r="B994" s="11"/>
      <c r="C994" s="11"/>
      <c r="D994" s="11"/>
      <c r="E994" s="11"/>
    </row>
    <row r="995" ht="15.75" customHeight="1">
      <c r="A995" s="11"/>
      <c r="B995" s="11"/>
      <c r="C995" s="11"/>
      <c r="D995" s="11"/>
      <c r="E995" s="11"/>
    </row>
    <row r="996" ht="15.75" customHeight="1">
      <c r="A996" s="11"/>
      <c r="B996" s="11"/>
      <c r="C996" s="11"/>
      <c r="D996" s="11"/>
      <c r="E996" s="11"/>
    </row>
    <row r="997" ht="15.75" customHeight="1">
      <c r="A997" s="11"/>
      <c r="B997" s="11"/>
      <c r="C997" s="11"/>
      <c r="D997" s="11"/>
      <c r="E997" s="11"/>
    </row>
    <row r="998" ht="15.75" customHeight="1">
      <c r="A998" s="11"/>
      <c r="B998" s="11"/>
      <c r="C998" s="11"/>
      <c r="D998" s="11"/>
      <c r="E998" s="11"/>
    </row>
    <row r="999" ht="15.75" customHeight="1">
      <c r="A999" s="11"/>
      <c r="B999" s="11"/>
      <c r="C999" s="11"/>
      <c r="D999" s="11"/>
      <c r="E999" s="11"/>
    </row>
    <row r="1000" ht="15.75" customHeight="1">
      <c r="A1000" s="11"/>
      <c r="B1000" s="11"/>
      <c r="C1000" s="11"/>
      <c r="D1000" s="11"/>
      <c r="E1000" s="11"/>
    </row>
  </sheetData>
  <printOptions/>
  <pageMargins bottom="0.787401575" footer="0.0" header="0.0" left="0.511811024" right="0.511811024" top="0.7874015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31.43"/>
    <col customWidth="1" min="17" max="26" width="8.71"/>
  </cols>
  <sheetData>
    <row r="9">
      <c r="D9" s="130" t="s">
        <v>175</v>
      </c>
    </row>
    <row r="10">
      <c r="D10" s="130" t="s">
        <v>630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P32" s="101"/>
    </row>
    <row r="33" ht="15.75" customHeight="1">
      <c r="N33" s="130">
        <v>9.0</v>
      </c>
    </row>
    <row r="34" ht="15.75" customHeight="1">
      <c r="N34" s="130">
        <v>10.0</v>
      </c>
    </row>
    <row r="35" ht="15.75" customHeight="1">
      <c r="N35" s="130">
        <v>10.0</v>
      </c>
    </row>
    <row r="36" ht="15.75" customHeight="1">
      <c r="N36" s="130">
        <v>10.0</v>
      </c>
    </row>
    <row r="37" ht="15.75" customHeight="1">
      <c r="N37" s="130">
        <v>8.0</v>
      </c>
    </row>
    <row r="38" ht="15.75" customHeight="1">
      <c r="N38" s="130">
        <v>9.0</v>
      </c>
    </row>
    <row r="39" ht="15.75" customHeight="1">
      <c r="N39" s="130">
        <v>9.0</v>
      </c>
    </row>
    <row r="40" ht="15.75" customHeight="1">
      <c r="N40" s="130">
        <v>9.0</v>
      </c>
    </row>
    <row r="41" ht="15.75" customHeight="1">
      <c r="N41" s="130">
        <v>10.0</v>
      </c>
    </row>
    <row r="42" ht="15.75" customHeight="1">
      <c r="N42" s="130">
        <v>9.0</v>
      </c>
    </row>
    <row r="43" ht="15.75" customHeight="1">
      <c r="N43" s="130">
        <v>8.0</v>
      </c>
    </row>
    <row r="44" ht="15.75" customHeight="1">
      <c r="N44" s="130">
        <v>6.0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9.0"/>
    <col customWidth="1" min="3" max="3" width="19.71"/>
    <col customWidth="1" min="4" max="26" width="8.71"/>
  </cols>
  <sheetData>
    <row r="1">
      <c r="A1" s="7" t="s">
        <v>0</v>
      </c>
      <c r="B1" s="7"/>
      <c r="C1" s="9"/>
      <c r="D1" s="11"/>
    </row>
    <row r="2">
      <c r="A2" s="13" t="s">
        <v>1</v>
      </c>
      <c r="B2" s="13"/>
      <c r="C2" s="13"/>
      <c r="D2" s="11"/>
    </row>
    <row r="3">
      <c r="A3" s="13" t="s">
        <v>2</v>
      </c>
      <c r="B3" s="13"/>
      <c r="C3" s="13"/>
      <c r="D3" s="11"/>
    </row>
    <row r="4">
      <c r="B4" s="15"/>
    </row>
    <row r="5">
      <c r="B5" s="15"/>
      <c r="C5" s="15"/>
      <c r="D5" s="16"/>
      <c r="E5" s="15"/>
      <c r="F5" s="15"/>
      <c r="G5" s="17"/>
    </row>
    <row r="6">
      <c r="A6" s="19" t="s">
        <v>4</v>
      </c>
      <c r="B6" s="11"/>
      <c r="D6" s="2"/>
    </row>
    <row r="7">
      <c r="A7" s="19" t="s">
        <v>5</v>
      </c>
      <c r="B7" s="11"/>
      <c r="D7" s="2"/>
    </row>
    <row r="8">
      <c r="A8" s="19"/>
      <c r="B8" s="11"/>
      <c r="D8" s="2"/>
    </row>
    <row r="9">
      <c r="A9" s="19" t="s">
        <v>6</v>
      </c>
      <c r="B9" s="11"/>
      <c r="D9" s="2"/>
    </row>
    <row r="10">
      <c r="A10" s="19" t="s">
        <v>7</v>
      </c>
      <c r="D10" s="11"/>
    </row>
    <row r="11">
      <c r="D11" s="11"/>
    </row>
    <row r="13">
      <c r="A13" s="20" t="s">
        <v>642</v>
      </c>
      <c r="B13" s="20" t="s">
        <v>9</v>
      </c>
      <c r="C13" s="22" t="s">
        <v>643</v>
      </c>
    </row>
    <row r="14">
      <c r="A14" s="162">
        <f>'JULHO  2026'!D11</f>
        <v>19999507</v>
      </c>
      <c r="B14" s="32">
        <f>COUNTIF('JULHO  2026'!D11:D599,'POR PACIENTE'!A10)</f>
        <v>0</v>
      </c>
      <c r="C14" s="33"/>
    </row>
    <row r="15">
      <c r="A15" s="164">
        <f>'JULHO  2026'!D17</f>
        <v>20170007</v>
      </c>
      <c r="B15" s="32">
        <f>COUNTIF('JULHO  2026'!D11:D599,'POR PACIENTE'!A16)</f>
        <v>1</v>
      </c>
      <c r="C15" s="33"/>
    </row>
    <row r="16">
      <c r="A16" s="162">
        <f>'JULHO  2026'!D23</f>
        <v>18270306</v>
      </c>
      <c r="B16" s="32">
        <f>COUNTIF('JULHO  2026'!D11:D599,'POR PACIENTE'!A22)</f>
        <v>1</v>
      </c>
      <c r="C16" s="33"/>
    </row>
    <row r="17">
      <c r="A17" s="164">
        <f>'JULHO  2026'!D29</f>
        <v>16019804</v>
      </c>
      <c r="B17" s="32">
        <f>COUNTIF('JULHO  2026'!D11:D599,'POR PACIENTE'!A28)</f>
        <v>1</v>
      </c>
      <c r="C17" s="33"/>
    </row>
    <row r="18">
      <c r="A18" s="164">
        <f>'JULHO  2026'!D35</f>
        <v>20207494</v>
      </c>
      <c r="B18" s="32">
        <f>COUNTIF('JULHO  2026'!D11:D599,'POR PACIENTE'!A34)</f>
        <v>1</v>
      </c>
      <c r="C18" s="33"/>
    </row>
    <row r="19">
      <c r="A19" s="162">
        <f>'JULHO  2026'!D41</f>
        <v>20207510</v>
      </c>
      <c r="B19" s="32">
        <f>COUNTIF('JULHO  2026'!D11:D599,'POR PACIENTE'!A40)</f>
        <v>1</v>
      </c>
      <c r="C19" s="33"/>
    </row>
    <row r="20">
      <c r="A20" s="164">
        <f>'JULHO  2026'!D47</f>
        <v>19937804</v>
      </c>
      <c r="B20" s="32">
        <f>COUNTIF('JULHO  2026'!D11:D599,'POR PACIENTE'!A46)</f>
        <v>1</v>
      </c>
      <c r="C20" s="33"/>
    </row>
    <row r="21" ht="15.75" customHeight="1">
      <c r="A21" s="164">
        <f>'JULHO  2026'!D53</f>
        <v>14123228</v>
      </c>
      <c r="B21" s="32">
        <f>COUNTIF('JULHO  2026'!D11:D599,'POR PACIENTE'!A53)</f>
        <v>1</v>
      </c>
      <c r="C21" s="33"/>
    </row>
    <row r="22" ht="15.75" customHeight="1">
      <c r="A22" s="164">
        <f>'JULHO  2026'!D59</f>
        <v>20051595</v>
      </c>
      <c r="B22" s="32">
        <f>COUNTIF('JULHO  2026'!D11:D599,'POR PACIENTE'!A59)</f>
        <v>1</v>
      </c>
      <c r="C22" s="33"/>
    </row>
    <row r="23" ht="15.75" customHeight="1">
      <c r="A23" s="164">
        <f>'JULHO  2026'!D65</f>
        <v>20166112</v>
      </c>
      <c r="B23" s="32">
        <f>COUNTIF('JULHO  2026'!D11:D599,'POR PACIENTE'!A65)</f>
        <v>1</v>
      </c>
      <c r="C23" s="33"/>
    </row>
    <row r="24" ht="15.75" customHeight="1">
      <c r="A24" s="164">
        <f>'JULHO  2026'!D71</f>
        <v>15673171</v>
      </c>
      <c r="B24" s="32">
        <f>COUNTIF('JULHO  2026'!D11:D599,'POR PACIENTE'!A71)</f>
        <v>1</v>
      </c>
      <c r="C24" s="33"/>
    </row>
    <row r="25" ht="15.75" customHeight="1">
      <c r="A25" s="164">
        <f>'JULHO  2026'!D77</f>
        <v>10477966</v>
      </c>
      <c r="B25" s="32">
        <f>COUNTIF('JULHO  2026'!D11:D599,'POR PACIENTE'!A77)</f>
        <v>1</v>
      </c>
      <c r="C25" s="33"/>
    </row>
    <row r="26" ht="15.75" customHeight="1">
      <c r="A26" s="164">
        <f>'JULHO  2026'!D83</f>
        <v>10274421</v>
      </c>
      <c r="B26" s="32">
        <f>COUNTIF('JULHO  2026'!D11:D599,'POR PACIENTE'!A83)</f>
        <v>1</v>
      </c>
      <c r="C26" s="33"/>
    </row>
    <row r="27" ht="15.75" customHeight="1">
      <c r="A27" s="164">
        <f>'JULHO  2026'!D89</f>
        <v>20319273</v>
      </c>
      <c r="B27" s="32">
        <f>COUNTIF('JULHO  2026'!D11:D599,'POR PACIENTE'!A89)</f>
        <v>1</v>
      </c>
      <c r="C27" s="33"/>
    </row>
    <row r="28" ht="15.75" customHeight="1">
      <c r="A28" s="164">
        <f>'JULHO  2026'!D95</f>
        <v>20275442</v>
      </c>
      <c r="B28" s="32">
        <f>COUNTIF('JULHO  2026'!D11:D599,'POR PACIENTE'!A95)</f>
        <v>1</v>
      </c>
      <c r="C28" s="33"/>
    </row>
    <row r="29" ht="15.75" customHeight="1">
      <c r="A29" s="164">
        <f>'JULHO  2026'!D101</f>
        <v>4234761</v>
      </c>
      <c r="B29" s="32">
        <f>COUNTIF('JULHO  2026'!D11:D599,'POR PACIENTE'!A102)</f>
        <v>0</v>
      </c>
      <c r="C29" s="33"/>
    </row>
    <row r="30" ht="15.75" customHeight="1">
      <c r="A30" s="164">
        <f>'JULHO  2026'!D107</f>
        <v>29297966</v>
      </c>
      <c r="B30" s="32">
        <f>COUNTIF('JULHO  2026'!D11:D599,'POR PACIENTE'!A108)</f>
        <v>0</v>
      </c>
      <c r="C30" s="33"/>
    </row>
    <row r="31" ht="15.75" customHeight="1">
      <c r="A31" s="164">
        <f>'JULHO  2026'!D113</f>
        <v>20329637</v>
      </c>
      <c r="B31" s="32">
        <f>COUNTIF('JULHO  2026'!D11:D599,'POR PACIENTE'!A114)</f>
        <v>0</v>
      </c>
      <c r="C31" s="33"/>
    </row>
    <row r="32" ht="15.75" customHeight="1">
      <c r="A32" s="164">
        <f>'JULHO  2026'!D119</f>
        <v>20313573</v>
      </c>
      <c r="B32" s="32">
        <f>COUNTIF('JULHO  2026'!D11:D599,'POR PACIENTE'!A120)</f>
        <v>0</v>
      </c>
      <c r="C32" s="33"/>
    </row>
    <row r="33" ht="15.75" customHeight="1">
      <c r="A33" s="164">
        <f>'JULHO  2026'!D125</f>
        <v>20338463</v>
      </c>
      <c r="B33" s="32">
        <f>COUNTIF('JULHO  2026'!D11:D599,'POR PACIENTE'!A126)</f>
        <v>0</v>
      </c>
      <c r="C33" s="33"/>
    </row>
    <row r="34" ht="15.75" customHeight="1">
      <c r="A34" s="164">
        <f>'JULHO  2026'!D131</f>
        <v>18069914</v>
      </c>
      <c r="B34" s="32">
        <f>COUNTIF('JULHO  2026'!D11:D599,'POR PACIENTE'!A132)</f>
        <v>0</v>
      </c>
      <c r="C34" s="33"/>
    </row>
    <row r="35" ht="15.75" customHeight="1">
      <c r="A35" s="164">
        <f>'JULHO  2026'!D137</f>
        <v>20428447</v>
      </c>
      <c r="B35" s="32">
        <f>COUNTIF('JULHO  2026'!D11:D599,'POR PACIENTE'!A138)</f>
        <v>0</v>
      </c>
      <c r="C35" s="33"/>
    </row>
    <row r="36" ht="15.75" customHeight="1">
      <c r="A36" s="164">
        <f>'JULHO  2026'!D143</f>
        <v>20405965</v>
      </c>
      <c r="B36" s="32">
        <f>COUNTIF('JULHO  2026'!D11:D599,'POR PACIENTE'!A144)</f>
        <v>0</v>
      </c>
      <c r="C36" s="33"/>
    </row>
    <row r="37" ht="15.75" customHeight="1">
      <c r="A37" s="164">
        <f>'JULHO  2026'!D149</f>
        <v>19892868</v>
      </c>
      <c r="B37" s="32">
        <f>COUNTIF('JULHO  2026'!D11:D599,'POR PACIENTE'!A150)</f>
        <v>0</v>
      </c>
      <c r="C37" s="33"/>
    </row>
    <row r="38" ht="15.75" customHeight="1">
      <c r="A38" s="164">
        <f>'JULHO  2026'!D155</f>
        <v>20261186</v>
      </c>
      <c r="B38" s="32">
        <f>COUNTIF('JULHO  2026'!D11:D599,'POR PACIENTE'!A156)</f>
        <v>0</v>
      </c>
      <c r="C38" s="33"/>
    </row>
    <row r="39" ht="15.75" customHeight="1">
      <c r="A39" s="164">
        <f>'JULHO  2026'!D161</f>
        <v>20385191</v>
      </c>
      <c r="B39" s="32">
        <f>COUNTIF('JULHO  2026'!D11:D599,'POR PACIENTE'!A162)</f>
        <v>0</v>
      </c>
      <c r="C39" s="33"/>
    </row>
    <row r="40" ht="15.75" customHeight="1">
      <c r="A40" s="164">
        <f>'JULHO  2026'!D167</f>
        <v>20405734</v>
      </c>
      <c r="B40" s="32">
        <f>COUNTIF('JULHO  2026'!D11:D599,'POR PACIENTE'!A168)</f>
        <v>0</v>
      </c>
      <c r="C40" s="33"/>
    </row>
    <row r="41" ht="15.75" customHeight="1">
      <c r="A41" s="164">
        <f>'JULHO  2026'!D173</f>
        <v>20316758</v>
      </c>
      <c r="B41" s="32">
        <f>COUNTIF('JULHO  2026'!D11:D599,'POR PACIENTE'!A174)</f>
        <v>0</v>
      </c>
      <c r="C41" s="33"/>
    </row>
    <row r="42" ht="15.75" customHeight="1">
      <c r="A42" s="164">
        <f>'JULHO  2026'!D179</f>
        <v>20441002</v>
      </c>
      <c r="B42" s="32">
        <f>COUNTIF('JULHO  2026'!D11:D599,'POR PACIENTE'!A180)</f>
        <v>0</v>
      </c>
      <c r="C42" s="33"/>
    </row>
    <row r="43" ht="15.75" customHeight="1">
      <c r="A43" s="164">
        <f>'JULHO  2026'!D185</f>
        <v>20118261</v>
      </c>
      <c r="B43" s="32">
        <f>COUNTIF('JULHO  2026'!D11:D599,'POR PACIENTE'!A186)</f>
        <v>0</v>
      </c>
      <c r="C43" s="33"/>
    </row>
    <row r="44" ht="15.75" customHeight="1">
      <c r="A44" s="164">
        <f>'JULHO  2026'!D191</f>
        <v>20398822</v>
      </c>
      <c r="B44" s="32">
        <f>COUNTIF('JULHO  2026'!D11:D599,'POR PACIENTE'!A192)</f>
        <v>0</v>
      </c>
      <c r="C44" s="33"/>
    </row>
    <row r="45" ht="15.75" customHeight="1">
      <c r="A45" s="164">
        <f>'JULHO  2026'!D197</f>
        <v>20426466</v>
      </c>
      <c r="B45" s="32">
        <f>COUNTIF('JULHO  2026'!D11:D599,'POR PACIENTE'!A198)</f>
        <v>0</v>
      </c>
      <c r="C45" s="33"/>
    </row>
    <row r="46" ht="15.75" customHeight="1">
      <c r="A46" s="164">
        <f>'JULHO  2026'!D203</f>
        <v>20416632</v>
      </c>
      <c r="B46" s="32">
        <f>COUNTIF('JULHO  2026'!D11:D599,'POR PACIENTE'!A204)</f>
        <v>0</v>
      </c>
      <c r="C46" s="33"/>
    </row>
    <row r="47" ht="15.75" customHeight="1">
      <c r="A47" s="164">
        <f>'JULHO  2026'!D209</f>
        <v>20530143</v>
      </c>
      <c r="B47" s="32">
        <f>COUNTIF('JULHO  2026'!D11:D599,'POR PACIENTE'!A210)</f>
        <v>0</v>
      </c>
      <c r="C47" s="33"/>
    </row>
    <row r="48" ht="15.75" customHeight="1">
      <c r="A48" s="164">
        <f>'JULHO  2026'!D215</f>
        <v>20186698</v>
      </c>
      <c r="B48" s="32">
        <f>COUNTIF('JULHO  2026'!D11:D599,'POR PACIENTE'!A216)</f>
        <v>0</v>
      </c>
      <c r="C48" s="33"/>
    </row>
    <row r="49" ht="15.75" customHeight="1">
      <c r="A49" s="164">
        <f>'JULHO  2026'!D221</f>
        <v>20424636</v>
      </c>
      <c r="B49" s="32">
        <f>COUNTIF('JULHO  2026'!D11:D599,'POR PACIENTE'!A222)</f>
        <v>0</v>
      </c>
      <c r="C49" s="33"/>
    </row>
    <row r="50" ht="15.75" customHeight="1">
      <c r="A50" s="20" t="s">
        <v>642</v>
      </c>
      <c r="B50" s="20" t="s">
        <v>9</v>
      </c>
      <c r="C50" s="22" t="s">
        <v>643</v>
      </c>
    </row>
    <row r="51" ht="15.75" customHeight="1">
      <c r="A51" s="164">
        <f>'JULHO  2026'!D227</f>
        <v>20324711</v>
      </c>
      <c r="B51" s="32">
        <f>COUNTIF('JULHO  2026'!D11:D599,'POR PACIENTE'!A228)</f>
        <v>0</v>
      </c>
      <c r="C51" s="33"/>
    </row>
    <row r="52" ht="15.75" customHeight="1">
      <c r="A52" s="164">
        <f>'JULHO  2026'!D233</f>
        <v>20665766</v>
      </c>
      <c r="B52" s="32">
        <f>COUNTIF('JULHO  2026'!D11:D599,'POR PACIENTE'!A234)</f>
        <v>0</v>
      </c>
      <c r="C52" s="33"/>
    </row>
    <row r="53" ht="15.75" customHeight="1">
      <c r="A53" s="164">
        <f>'JULHO  2026'!D239</f>
        <v>20765954</v>
      </c>
      <c r="B53" s="32">
        <f>COUNTIF('JULHO  2026'!D11:D599,'POR PACIENTE'!A240)</f>
        <v>0</v>
      </c>
      <c r="C53" s="33"/>
    </row>
    <row r="54" ht="15.75" customHeight="1">
      <c r="A54" s="164">
        <f>'JULHO  2026'!D245</f>
        <v>20723219</v>
      </c>
      <c r="B54" s="32">
        <f>COUNTIF('JULHO  2026'!D11:D599,'POR PACIENTE'!A246)</f>
        <v>0</v>
      </c>
      <c r="C54" s="33"/>
    </row>
    <row r="55" ht="15.75" customHeight="1">
      <c r="A55" s="164">
        <f>'JULHO  2026'!D251</f>
        <v>18965277</v>
      </c>
      <c r="B55" s="32">
        <f>COUNTIF('JULHO  2026'!D11:D599,'POR PACIENTE'!A252)</f>
        <v>0</v>
      </c>
      <c r="C55" s="33"/>
    </row>
    <row r="56" ht="15.75" customHeight="1">
      <c r="A56" s="164">
        <f>'JULHO  2026'!D257</f>
        <v>14457824</v>
      </c>
      <c r="B56" s="32">
        <f>COUNTIF('JULHO  2026'!D11:D599,'POR PACIENTE'!A258)</f>
        <v>0</v>
      </c>
      <c r="C56" s="33"/>
    </row>
    <row r="57" ht="15.75" customHeight="1">
      <c r="A57" s="164">
        <f>'JULHO  2026'!D269</f>
        <v>20417739</v>
      </c>
      <c r="B57" s="32">
        <f>COUNTIF('JULHO  2026'!D11:D599,'POR PACIENTE'!A264)</f>
        <v>0</v>
      </c>
      <c r="C57" s="33"/>
    </row>
    <row r="58" ht="15.75" customHeight="1">
      <c r="A58" s="164">
        <f>'JULHO  2026'!D269</f>
        <v>20417739</v>
      </c>
      <c r="B58" s="32">
        <f>COUNTIF('JULHO  2026'!D11:D599,'POR PACIENTE'!A270)</f>
        <v>0</v>
      </c>
      <c r="C58" s="33"/>
    </row>
    <row r="59" ht="15.75" customHeight="1">
      <c r="A59" s="164">
        <f>'JULHO  2026'!D275</f>
        <v>20599759</v>
      </c>
      <c r="B59" s="32">
        <f>COUNTIF('JULHO  2026'!D11:D599,'POR PACIENTE'!A276)</f>
        <v>0</v>
      </c>
      <c r="C59" s="33"/>
    </row>
    <row r="60" ht="15.75" customHeight="1">
      <c r="A60" s="164">
        <f>'JULHO  2026'!D281</f>
        <v>20482220</v>
      </c>
      <c r="B60" s="32">
        <f>COUNTIF('JULHO  2026'!D11:D599,'POR PACIENTE'!A282)</f>
        <v>0</v>
      </c>
      <c r="C60" s="33"/>
    </row>
    <row r="61" ht="15.75" customHeight="1">
      <c r="A61" s="164">
        <f>'JULHO  2026'!D287</f>
        <v>16688154</v>
      </c>
      <c r="B61" s="32">
        <f>COUNTIF('JULHO  2026'!D11:D599,'POR PACIENTE'!A288)</f>
        <v>0</v>
      </c>
      <c r="C61" s="33"/>
    </row>
    <row r="62" ht="15.75" customHeight="1">
      <c r="A62" s="164">
        <f>'JULHO  2026'!D293</f>
        <v>9525684</v>
      </c>
      <c r="B62" s="32">
        <f>COUNTIF('JULHO  2026'!D11:D599,'POR PACIENTE'!A294)</f>
        <v>0</v>
      </c>
      <c r="C62" s="33"/>
    </row>
    <row r="63" ht="15.75" customHeight="1">
      <c r="A63" s="164">
        <f>'JULHO  2026'!D299</f>
        <v>20497293</v>
      </c>
      <c r="B63" s="32">
        <f>COUNTIF('JULHO  2026'!D11:D599,'POR PACIENTE'!A300)</f>
        <v>0</v>
      </c>
      <c r="C63" s="33"/>
    </row>
    <row r="64" ht="15.75" customHeight="1">
      <c r="A64" s="164">
        <f>'JULHO  2026'!D305</f>
        <v>20497293</v>
      </c>
      <c r="B64" s="32">
        <f>COUNTIF('JULHO  2026'!D11:D599,'POR PACIENTE'!A306)</f>
        <v>0</v>
      </c>
      <c r="C64" s="33"/>
    </row>
    <row r="65" ht="15.75" customHeight="1">
      <c r="A65" s="164">
        <f>'JULHO  2026'!D311</f>
        <v>20692646</v>
      </c>
      <c r="B65" s="32">
        <f>COUNTIF('JULHO  2026'!D11:D599,'POR PACIENTE'!A312)</f>
        <v>0</v>
      </c>
      <c r="C65" s="33"/>
    </row>
    <row r="66" ht="15.75" customHeight="1">
      <c r="A66" s="164">
        <f>'JULHO  2026'!D317</f>
        <v>20740593</v>
      </c>
      <c r="B66" s="32">
        <f>COUNTIF('JULHO  2026'!D11:D599,'POR PACIENTE'!A318)</f>
        <v>0</v>
      </c>
      <c r="C66" s="33"/>
    </row>
    <row r="67" ht="15.75" customHeight="1">
      <c r="A67" s="164">
        <f>'JULHO  2026'!D323</f>
        <v>20722633</v>
      </c>
      <c r="B67" s="32">
        <f>COUNTIF('JULHO  2026'!D11:D599,'POR PACIENTE'!A324)</f>
        <v>0</v>
      </c>
      <c r="C67" s="33"/>
    </row>
    <row r="68" ht="15.75" customHeight="1">
      <c r="A68" s="164">
        <f>'JULHO  2026'!D329</f>
        <v>10274421</v>
      </c>
      <c r="B68" s="32">
        <f>COUNTIF('JULHO  2026'!D11:D599,'POR PACIENTE'!A330)</f>
        <v>0</v>
      </c>
      <c r="C68" s="33"/>
    </row>
    <row r="69" ht="15.75" customHeight="1">
      <c r="A69" s="164">
        <f>'JULHO  2026'!D335</f>
        <v>20554051</v>
      </c>
      <c r="B69" s="32">
        <f>COUNTIF('JULHO  2026'!D11:D599,'POR PACIENTE'!A336)</f>
        <v>0</v>
      </c>
      <c r="C69" s="33"/>
    </row>
    <row r="70" ht="15.75" customHeight="1">
      <c r="A70" s="164">
        <f>'JULHO  2026'!D341</f>
        <v>16047193</v>
      </c>
      <c r="B70" s="32">
        <f>COUNTIF('JULHO  2026'!D11:D599,'POR PACIENTE'!A342)</f>
        <v>0</v>
      </c>
      <c r="C70" s="33"/>
    </row>
    <row r="71" ht="15.75" customHeight="1">
      <c r="A71" s="164">
        <f>'JULHO  2026'!D347</f>
        <v>20744884</v>
      </c>
      <c r="B71" s="32">
        <f>COUNTIF('JULHO  2026'!D11:D599,'POR PACIENTE'!A348)</f>
        <v>0</v>
      </c>
      <c r="C71" s="33"/>
    </row>
    <row r="72" ht="15.75" customHeight="1">
      <c r="A72" s="164">
        <f>'JULHO  2026'!D353</f>
        <v>20563540</v>
      </c>
      <c r="B72" s="32">
        <f>COUNTIF('JULHO  2026'!D11:D599,'POR PACIENTE'!A354)</f>
        <v>0</v>
      </c>
      <c r="C72" s="33"/>
    </row>
    <row r="73" ht="15.75" customHeight="1">
      <c r="A73" s="164">
        <f>'JULHO  2026'!D359</f>
        <v>17922378</v>
      </c>
      <c r="B73" s="32">
        <f>COUNTIF('JULHO  2026'!D11:D599,'POR PACIENTE'!A360)</f>
        <v>0</v>
      </c>
      <c r="C73" s="33"/>
    </row>
    <row r="74" ht="15.75" customHeight="1">
      <c r="A74" s="164">
        <f>'JULHO  2026'!D365</f>
        <v>20687075</v>
      </c>
      <c r="B74" s="32">
        <f>COUNTIF('JULHO  2026'!D11:D599,'POR PACIENTE'!A366)</f>
        <v>0</v>
      </c>
      <c r="C74" s="33"/>
    </row>
    <row r="75" ht="15.75" customHeight="1">
      <c r="A75" s="164">
        <f>'JULHO  2026'!D371</f>
        <v>5599170</v>
      </c>
      <c r="B75" s="32">
        <f>COUNTIF('JULHO  2026'!D11:D599,'POR PACIENTE'!A372)</f>
        <v>0</v>
      </c>
      <c r="C75" s="33"/>
    </row>
    <row r="76" ht="15.75" customHeight="1">
      <c r="A76" s="164">
        <f>'JULHO  2026'!D377</f>
        <v>20632477</v>
      </c>
      <c r="B76" s="32">
        <f>COUNTIF('JULHO  2026'!D11:D599,'POR PACIENTE'!A378)</f>
        <v>0</v>
      </c>
      <c r="C76" s="33"/>
    </row>
    <row r="77" ht="15.75" customHeight="1">
      <c r="A77" s="164">
        <f>'JULHO  2026'!D383</f>
        <v>3999877</v>
      </c>
      <c r="B77" s="32">
        <f>COUNTIF('JULHO  2026'!D11:D599,'POR PACIENTE'!A384)</f>
        <v>0</v>
      </c>
      <c r="C77" s="33"/>
    </row>
    <row r="78" ht="15.75" customHeight="1">
      <c r="A78" s="164">
        <f>'JULHO  2026'!D389</f>
        <v>20389938</v>
      </c>
      <c r="B78" s="32">
        <f>COUNTIF('JULHO  2026'!D11:D599,'POR PACIENTE'!A390)</f>
        <v>0</v>
      </c>
      <c r="C78" s="33"/>
    </row>
    <row r="79" ht="15.75" customHeight="1">
      <c r="A79" s="164">
        <f>'JULHO  2026'!D395</f>
        <v>20731022</v>
      </c>
      <c r="B79" s="32">
        <f>COUNTIF('JULHO  2026'!D11:D599,'POR PACIENTE'!A396)</f>
        <v>0</v>
      </c>
      <c r="C79" s="33"/>
    </row>
    <row r="80" ht="15.75" customHeight="1">
      <c r="A80" s="164">
        <f>'JULHO  2026'!D401</f>
        <v>20417739</v>
      </c>
      <c r="B80" s="32">
        <f>COUNTIF('JULHO  2026'!D11:D599,'POR PACIENTE'!A402)</f>
        <v>0</v>
      </c>
      <c r="C80" s="33"/>
    </row>
    <row r="81" ht="15.75" customHeight="1">
      <c r="A81" s="164">
        <f>'JULHO  2026'!D407</f>
        <v>10106599</v>
      </c>
      <c r="B81" s="32">
        <f>COUNTIF('JULHO  2026'!D11:D599,'POR PACIENTE'!A408)</f>
        <v>0</v>
      </c>
      <c r="C81" s="33"/>
    </row>
    <row r="82" ht="15.75" customHeight="1">
      <c r="A82" s="164">
        <f>'JULHO  2026'!D413</f>
        <v>9525684</v>
      </c>
      <c r="B82" s="32">
        <f>COUNTIF('JULHO  2026'!D11:D599,'POR PACIENTE'!A414)</f>
        <v>0</v>
      </c>
      <c r="C82" s="33"/>
    </row>
    <row r="83" ht="15.75" customHeight="1">
      <c r="A83" s="164">
        <f>'JULHO  2026'!D419</f>
        <v>20754685</v>
      </c>
      <c r="B83" s="32">
        <f>COUNTIF('JULHO  2026'!D11:D599,'POR PACIENTE'!A420)</f>
        <v>0</v>
      </c>
      <c r="C83" s="33"/>
    </row>
    <row r="84" ht="15.75" customHeight="1">
      <c r="A84" s="164">
        <f>'JULHO  2026'!D425</f>
        <v>13679378</v>
      </c>
      <c r="B84" s="32">
        <f>COUNTIF('JULHO  2026'!D11:D599,'POR PACIENTE'!A426)</f>
        <v>0</v>
      </c>
      <c r="C84" s="33"/>
    </row>
    <row r="85" ht="15.75" customHeight="1">
      <c r="A85" s="164">
        <f>'JULHO  2026'!D431</f>
        <v>20288270</v>
      </c>
      <c r="B85" s="32">
        <f>COUNTIF('JULHO  2026'!D11:D599,'POR PACIENTE'!A432)</f>
        <v>0</v>
      </c>
      <c r="C85" s="33"/>
    </row>
    <row r="86" ht="15.75" customHeight="1">
      <c r="A86" s="164">
        <f>'JULHO  2026'!D437</f>
        <v>20316758</v>
      </c>
      <c r="B86" s="32">
        <f>COUNTIF('JULHO  2026'!D11:D599,'POR PACIENTE'!A438)</f>
        <v>0</v>
      </c>
      <c r="C86" s="33"/>
    </row>
    <row r="87" ht="15.75" customHeight="1">
      <c r="A87" s="164">
        <f>'JULHO  2026'!D443</f>
        <v>20437646</v>
      </c>
      <c r="B87" s="32">
        <f>COUNTIF('JULHO  2026'!D11:D599,'POR PACIENTE'!A444)</f>
        <v>0</v>
      </c>
      <c r="C87" s="33"/>
    </row>
    <row r="88" ht="15.75" customHeight="1">
      <c r="A88" s="164">
        <f>'JULHO  2026'!D449</f>
        <v>10466159</v>
      </c>
      <c r="B88" s="32">
        <f>COUNTIF('JULHO  2026'!D11:D599,'POR PACIENTE'!A450)</f>
        <v>0</v>
      </c>
      <c r="C88" s="33"/>
    </row>
    <row r="89" ht="15.75" customHeight="1">
      <c r="A89" s="164">
        <f>'JULHO  2026'!D455</f>
        <v>20378766</v>
      </c>
      <c r="B89" s="32">
        <f>COUNTIF('JULHO  2026'!D11:D599,'POR PACIENTE'!A456)</f>
        <v>0</v>
      </c>
      <c r="C89" s="33"/>
    </row>
    <row r="90" ht="15.75" customHeight="1">
      <c r="A90" s="164">
        <f>'JULHO  2026'!D461</f>
        <v>20555033</v>
      </c>
      <c r="B90" s="32">
        <f>COUNTIF('JULHO  2026'!D11:D599,'POR PACIENTE'!A462)</f>
        <v>0</v>
      </c>
      <c r="C90" s="33"/>
    </row>
    <row r="91" ht="15.75" customHeight="1">
      <c r="A91" s="164">
        <f>'JULHO  2026'!D467</f>
        <v>6004071</v>
      </c>
      <c r="B91" s="32">
        <f>COUNTIF('JULHO  2026'!D11:D599,'POR PACIENTE'!A468)</f>
        <v>0</v>
      </c>
      <c r="C91" s="33"/>
    </row>
    <row r="92" ht="15.75" customHeight="1">
      <c r="A92" s="164">
        <f>'JULHO  2026'!D473</f>
        <v>20052775</v>
      </c>
      <c r="B92" s="32">
        <f>COUNTIF('JULHO  2026'!D11:D599,'POR PACIENTE'!A474)</f>
        <v>0</v>
      </c>
      <c r="C92" s="33"/>
    </row>
    <row r="93" ht="15.75" customHeight="1">
      <c r="A93" s="164">
        <f>'JULHO  2026'!D479</f>
        <v>20390290</v>
      </c>
      <c r="B93" s="32">
        <f>COUNTIF('JULHO  2026'!D11:D599,'POR PACIENTE'!A480)</f>
        <v>0</v>
      </c>
      <c r="C93" s="33"/>
    </row>
    <row r="94" ht="15.75" customHeight="1">
      <c r="A94" s="164">
        <f>'JULHO  2026'!D485</f>
        <v>20424636</v>
      </c>
      <c r="B94" s="32">
        <f>COUNTIF('JULHO  2026'!D11:D599,'POR PACIENTE'!A486)</f>
        <v>0</v>
      </c>
      <c r="C94" s="33"/>
    </row>
    <row r="95" ht="15.75" customHeight="1">
      <c r="A95" s="164">
        <f>'JULHO  2026'!D491</f>
        <v>20302022</v>
      </c>
      <c r="B95" s="32">
        <f>COUNTIF('JULHO  2026'!D11:D599,'POR PACIENTE'!A492)</f>
        <v>0</v>
      </c>
      <c r="C95" s="33"/>
    </row>
    <row r="96" ht="15.75" customHeight="1">
      <c r="A96" s="164">
        <f>'JULHO  2026'!D497</f>
        <v>20398822</v>
      </c>
      <c r="B96" s="32">
        <f>COUNTIF('JULHO  2026'!D11:D599,'POR PACIENTE'!A498)</f>
        <v>0</v>
      </c>
      <c r="C96" s="33"/>
    </row>
    <row r="97" ht="15.75" customHeight="1">
      <c r="A97" s="164">
        <f>'JULHO  2026'!D503</f>
        <v>14749915</v>
      </c>
      <c r="B97" s="32">
        <f>COUNTIF('JULHO  2026'!D11:D599,'POR PACIENTE'!A504)</f>
        <v>0</v>
      </c>
      <c r="C97" s="33"/>
    </row>
    <row r="98" ht="15.75" customHeight="1">
      <c r="A98" s="164">
        <f>'JULHO  2026'!D509</f>
        <v>15105216</v>
      </c>
      <c r="B98" s="32">
        <f>COUNTIF('JULHO  2026'!D11:D599,'POR PACIENTE'!A510)</f>
        <v>0</v>
      </c>
      <c r="C98" s="33"/>
    </row>
    <row r="99" ht="15.75" customHeight="1">
      <c r="A99" s="20" t="s">
        <v>642</v>
      </c>
      <c r="B99" s="20" t="s">
        <v>9</v>
      </c>
      <c r="C99" s="22" t="s">
        <v>643</v>
      </c>
    </row>
    <row r="100" ht="15.75" customHeight="1">
      <c r="A100" s="164">
        <f>'JULHO  2026'!D515</f>
        <v>20355533</v>
      </c>
      <c r="B100" s="32">
        <f>COUNTIF('JULHO  2026'!D11:D599,'POR PACIENTE'!A516)</f>
        <v>0</v>
      </c>
      <c r="C100" s="33"/>
    </row>
    <row r="101" ht="15.75" customHeight="1">
      <c r="A101" s="164" t="str">
        <f>'JULHO  2026'!D521</f>
        <v/>
      </c>
      <c r="B101" s="32">
        <f>COUNTIF('JULHO  2026'!D11:D599,'POR PACIENTE'!A522)</f>
        <v>0</v>
      </c>
      <c r="C101" s="33"/>
    </row>
    <row r="102" ht="15.75" customHeight="1">
      <c r="A102" s="164" t="str">
        <f>'JULHO  2026'!#REF!</f>
        <v>#ERROR!</v>
      </c>
      <c r="B102" s="32">
        <f>COUNTIF('JULHO  2026'!D11:D599,'POR PACIENTE'!A528)</f>
        <v>0</v>
      </c>
      <c r="C102" s="33"/>
    </row>
    <row r="103" ht="15.75" customHeight="1">
      <c r="A103" s="164" t="str">
        <f>'JULHO  2026'!#REF!</f>
        <v>#ERROR!</v>
      </c>
      <c r="B103" s="32">
        <f>COUNTIF('JULHO  2026'!D11:D599,'POR PACIENTE'!A534)</f>
        <v>0</v>
      </c>
      <c r="C103" s="33"/>
    </row>
    <row r="104" ht="15.75" customHeight="1">
      <c r="A104" s="164" t="str">
        <f>'JULHO  2026'!#REF!</f>
        <v>#ERROR!</v>
      </c>
      <c r="B104" s="32">
        <f>COUNTIF('JULHO  2026'!D11:D599,'POR PACIENTE'!A540)</f>
        <v>0</v>
      </c>
      <c r="C104" s="33"/>
    </row>
    <row r="105" ht="15.75" customHeight="1">
      <c r="A105" s="164" t="str">
        <f>'JULHO  2026'!#REF!</f>
        <v>#ERROR!</v>
      </c>
      <c r="B105" s="32">
        <f>COUNTIF('JULHO  2026'!D11:D599,'POR PACIENTE'!A546)</f>
        <v>0</v>
      </c>
      <c r="C105" s="33"/>
    </row>
    <row r="106" ht="15.75" customHeight="1">
      <c r="A106" s="164" t="str">
        <f>'JULHO  2026'!#REF!</f>
        <v>#ERROR!</v>
      </c>
      <c r="B106" s="32">
        <f>COUNTIF('JULHO  2026'!D11:D599,'POR PACIENTE'!A552)</f>
        <v>0</v>
      </c>
      <c r="C106" s="33"/>
    </row>
    <row r="107" ht="15.75" customHeight="1">
      <c r="A107" s="164" t="str">
        <f>'JULHO  2026'!D557</f>
        <v/>
      </c>
      <c r="B107" s="32">
        <f>COUNTIF('JULHO  2026'!D11:D599,'POR PACIENTE'!A558)</f>
        <v>0</v>
      </c>
      <c r="C107" s="33"/>
    </row>
    <row r="108" ht="15.75" customHeight="1">
      <c r="A108" s="164" t="str">
        <f>'JULHO  2026'!#REF!</f>
        <v>#ERROR!</v>
      </c>
      <c r="B108" s="32">
        <f>COUNTIF('JULHO  2026'!D11:D599,'POR PACIENTE'!A564)</f>
        <v>0</v>
      </c>
      <c r="C108" s="33"/>
    </row>
    <row r="109" ht="15.75" customHeight="1">
      <c r="A109" s="164" t="str">
        <f>'JULHO  2026'!#REF!</f>
        <v>#ERROR!</v>
      </c>
      <c r="B109" s="32">
        <f>COUNTIF('JULHO  2026'!D11:D599,'POR PACIENTE'!A570)</f>
        <v>0</v>
      </c>
      <c r="C109" s="33"/>
    </row>
    <row r="110" ht="15.75" customHeight="1">
      <c r="A110" s="164" t="str">
        <f>'JULHO  2026'!#REF!</f>
        <v>#ERROR!</v>
      </c>
      <c r="B110" s="32">
        <f>COUNTIF('JULHO  2026'!D11:D599,'POR PACIENTE'!A576)</f>
        <v>0</v>
      </c>
      <c r="C110" s="33"/>
    </row>
    <row r="111" ht="15.75" customHeight="1">
      <c r="A111" s="164" t="str">
        <f>'JULHO  2026'!#REF!</f>
        <v>#ERROR!</v>
      </c>
      <c r="B111" s="32">
        <f>COUNTIF('JULHO  2026'!D11:D599,'POR PACIENTE'!A582)</f>
        <v>0</v>
      </c>
      <c r="C111" s="33"/>
    </row>
    <row r="112" ht="15.75" customHeight="1">
      <c r="A112" s="164" t="str">
        <f>'JULHO  2026'!#REF!</f>
        <v>#ERROR!</v>
      </c>
      <c r="B112" s="32">
        <f>COUNTIF('JULHO  2026'!D11:D599,'POR PACIENTE'!A588)</f>
        <v>0</v>
      </c>
      <c r="C112" s="33"/>
    </row>
    <row r="113" ht="15.75" customHeight="1">
      <c r="A113" s="164" t="str">
        <f>'JULHO  2026'!#REF!</f>
        <v>#ERROR!</v>
      </c>
      <c r="B113" s="32">
        <f>COUNTIF('JULHO  2026'!D11:D599,'POR PACIENTE'!A594)</f>
        <v>0</v>
      </c>
      <c r="C113" s="33"/>
    </row>
    <row r="114" ht="15.75" customHeight="1">
      <c r="A114" s="164" t="str">
        <f>'JULHO  2026'!#REF!</f>
        <v>#ERROR!</v>
      </c>
      <c r="B114" s="32">
        <f>COUNTIF('JULHO  2026'!D11:D599,'POR PACIENTE'!A600)</f>
        <v>0</v>
      </c>
      <c r="C114" s="33"/>
    </row>
    <row r="115" ht="15.75" customHeight="1">
      <c r="A115" s="42" t="s">
        <v>46</v>
      </c>
      <c r="B115" s="200">
        <f t="shared" ref="B115:C115" si="1">SUM(B14:B114)</f>
        <v>14</v>
      </c>
      <c r="C115" s="50">
        <f t="shared" si="1"/>
        <v>0</v>
      </c>
      <c r="D115" s="53"/>
      <c r="E115" s="53"/>
      <c r="F115" s="53"/>
      <c r="G115" s="53"/>
      <c r="H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G5:J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7.29"/>
    <col customWidth="1" min="3" max="3" width="15.86"/>
    <col customWidth="1" min="4" max="4" width="19.29"/>
    <col customWidth="1" min="5" max="5" width="50.43"/>
    <col customWidth="1" min="6" max="26" width="8.71"/>
  </cols>
  <sheetData>
    <row r="1">
      <c r="A1" s="19"/>
      <c r="B1" s="167" t="s">
        <v>0</v>
      </c>
      <c r="D1" s="4"/>
      <c r="E1" s="168"/>
      <c r="F1" s="73"/>
    </row>
    <row r="2">
      <c r="A2" s="19"/>
      <c r="B2" s="169" t="s">
        <v>1</v>
      </c>
      <c r="E2" s="168"/>
      <c r="F2" s="73"/>
    </row>
    <row r="3">
      <c r="A3" s="19"/>
      <c r="B3" s="169" t="s">
        <v>2</v>
      </c>
      <c r="E3" s="168"/>
      <c r="F3" s="73"/>
    </row>
    <row r="4">
      <c r="A4" s="15"/>
    </row>
    <row r="5">
      <c r="A5" s="15"/>
      <c r="B5" s="15"/>
      <c r="D5" s="17" t="s">
        <v>660</v>
      </c>
      <c r="E5" s="17"/>
      <c r="F5" s="17"/>
      <c r="G5" s="17"/>
      <c r="H5" s="17"/>
      <c r="I5" s="17"/>
    </row>
    <row r="6">
      <c r="A6" s="170" t="s">
        <v>4</v>
      </c>
      <c r="B6" s="171"/>
      <c r="C6" s="172"/>
      <c r="D6" s="18"/>
      <c r="E6" s="172"/>
      <c r="F6" s="173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>
      <c r="A7" s="170" t="s">
        <v>5</v>
      </c>
      <c r="B7" s="171"/>
      <c r="C7" s="172"/>
      <c r="D7" s="18"/>
      <c r="E7" s="172"/>
      <c r="F7" s="173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>
      <c r="A8" s="170" t="s">
        <v>662</v>
      </c>
      <c r="B8" s="171"/>
      <c r="C8" s="172"/>
      <c r="D8" s="18"/>
      <c r="E8" s="172"/>
      <c r="F8" s="173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11">
      <c r="A11" s="174" t="s">
        <v>663</v>
      </c>
      <c r="B11" s="176" t="s">
        <v>665</v>
      </c>
      <c r="C11" s="177" t="s">
        <v>21</v>
      </c>
      <c r="D11" s="177" t="s">
        <v>27</v>
      </c>
      <c r="E11" s="177" t="s">
        <v>666</v>
      </c>
    </row>
    <row r="12" ht="39.75" customHeight="1">
      <c r="A12" s="178">
        <f>'JULHO  2026'!A143</f>
        <v>23</v>
      </c>
      <c r="B12" s="179" t="str">
        <f>'JULHO  2026'!B143</f>
        <v>IG ANGELO EMANUEL  SAMPAIO</v>
      </c>
      <c r="C12" s="180">
        <f>'JULHO  2026'!C143</f>
        <v>46214</v>
      </c>
      <c r="D12" s="68">
        <f>'JULHO  2026'!D143</f>
        <v>20405965</v>
      </c>
      <c r="E12" s="181" t="s">
        <v>668</v>
      </c>
    </row>
    <row r="13" ht="30.0" customHeight="1">
      <c r="A13" s="182"/>
      <c r="B13" s="183"/>
      <c r="C13" s="184"/>
      <c r="D13" s="185"/>
      <c r="E13" s="186"/>
    </row>
    <row r="14" ht="15.0" customHeight="1">
      <c r="A14" s="187">
        <f>'JULHO  2026'!A161</f>
        <v>26</v>
      </c>
      <c r="B14" s="188" t="str">
        <f>'JULHO  2026'!B161</f>
        <v>MARIA FRANCO SANTA BARBARA</v>
      </c>
      <c r="C14" s="189">
        <f>'JULHO  2026'!C161</f>
        <v>46213</v>
      </c>
      <c r="D14" s="187">
        <f>'JULHO  2026'!D161</f>
        <v>20385191</v>
      </c>
      <c r="E14" s="190" t="s">
        <v>670</v>
      </c>
    </row>
    <row r="15">
      <c r="A15" s="32">
        <f>'JULHO  2026'!A167</f>
        <v>27</v>
      </c>
      <c r="B15" s="191" t="str">
        <f>'JULHO  2026'!B167</f>
        <v>LEONICE ESTEVA DE CERQUEIRA DE JESUS</v>
      </c>
      <c r="C15" s="150">
        <f>'JULHO  2026'!C167</f>
        <v>46214</v>
      </c>
      <c r="D15" s="32">
        <f>'JULHO  2026'!D167</f>
        <v>20405734</v>
      </c>
      <c r="E15" s="190" t="s">
        <v>673</v>
      </c>
    </row>
    <row r="16">
      <c r="A16" s="32">
        <f>'JULHO  2026'!A173</f>
        <v>28</v>
      </c>
      <c r="B16" s="191" t="str">
        <f>'JULHO  2026'!B173</f>
        <v>EMMANUEL BRITO DE OLIVEIRA</v>
      </c>
      <c r="C16" s="150">
        <f>'JULHO  2026'!C173</f>
        <v>46216</v>
      </c>
      <c r="D16" s="32">
        <f>'JULHO  2026'!D173</f>
        <v>20316758</v>
      </c>
      <c r="E16" s="190" t="s">
        <v>675</v>
      </c>
    </row>
    <row r="17" hidden="1">
      <c r="A17" s="32">
        <f>'JULHO  2026'!A179</f>
        <v>29</v>
      </c>
      <c r="B17" s="191" t="str">
        <f>'JULHO  2026'!B179</f>
        <v>VENCELENCIO PEREIRA MASCARENHAS</v>
      </c>
      <c r="C17" s="150">
        <f>'JULHO  2026'!C179</f>
        <v>46216</v>
      </c>
      <c r="D17" s="32">
        <f>'JULHO  2026'!D179</f>
        <v>20441002</v>
      </c>
      <c r="E17" s="190"/>
    </row>
    <row r="18">
      <c r="A18" s="32">
        <f>'JULHO  2026'!A185</f>
        <v>30</v>
      </c>
      <c r="B18" s="191" t="str">
        <f>'JULHO  2026'!B185</f>
        <v>ANISIO DANTAS COELHO</v>
      </c>
      <c r="C18" s="150">
        <f>'JULHO  2026'!C185</f>
        <v>46211</v>
      </c>
      <c r="D18" s="32">
        <f>'JULHO  2026'!D185</f>
        <v>20118261</v>
      </c>
      <c r="E18" s="190" t="s">
        <v>676</v>
      </c>
    </row>
    <row r="19">
      <c r="A19" s="32">
        <f>'JULHO  2026'!A191</f>
        <v>31</v>
      </c>
      <c r="B19" s="191" t="str">
        <f>'JULHO  2026'!B191</f>
        <v>ELINEUZA CERQUEIRA DA SILVA</v>
      </c>
      <c r="C19" s="150">
        <f>'JULHO  2026'!C191</f>
        <v>46212</v>
      </c>
      <c r="D19" s="32">
        <f>'JULHO  2026'!D191</f>
        <v>20398822</v>
      </c>
      <c r="E19" s="190" t="s">
        <v>677</v>
      </c>
    </row>
    <row r="20">
      <c r="A20" s="32">
        <f>'JULHO  2026'!A197</f>
        <v>32</v>
      </c>
      <c r="B20" s="191" t="str">
        <f>'JULHO  2026'!B197</f>
        <v>ZACARIAS ANDRADE DA SILVA</v>
      </c>
      <c r="C20" s="150">
        <f>'JULHO  2026'!C197</f>
        <v>46214</v>
      </c>
      <c r="D20" s="32">
        <f>'JULHO  2026'!D197</f>
        <v>20426466</v>
      </c>
      <c r="E20" s="190" t="s">
        <v>678</v>
      </c>
    </row>
    <row r="21" ht="15.75" customHeight="1">
      <c r="A21" s="196">
        <f>'JULHO  2026'!A209</f>
        <v>34</v>
      </c>
      <c r="B21" s="201" t="str">
        <f>'JULHO  2026'!B209</f>
        <v>EDINEY DE ARAUJO SOUZA</v>
      </c>
      <c r="C21" s="205">
        <f>'JULHO  2026'!C209</f>
        <v>46220</v>
      </c>
      <c r="D21" s="196">
        <f>'JULHO  2026'!D209</f>
        <v>20530143</v>
      </c>
      <c r="E21" s="206" t="s">
        <v>695</v>
      </c>
    </row>
    <row r="22" ht="30.0" customHeight="1">
      <c r="A22" s="182"/>
      <c r="B22" s="183"/>
      <c r="C22" s="184"/>
      <c r="D22" s="185"/>
      <c r="E22" s="207"/>
    </row>
    <row r="23" ht="15.75" customHeight="1">
      <c r="A23" s="187">
        <f>'JULHO  2026'!A215</f>
        <v>35</v>
      </c>
      <c r="B23" s="188" t="str">
        <f>'JULHO  2026'!B215</f>
        <v>LUIZ FELIPE DOS SANTOS BRITTO</v>
      </c>
      <c r="C23" s="189">
        <f>'JULHO  2026'!C215</f>
        <v>46218</v>
      </c>
      <c r="D23" s="187">
        <f>'JULHO  2026'!D215</f>
        <v>20186698</v>
      </c>
      <c r="E23" s="190" t="s">
        <v>696</v>
      </c>
    </row>
    <row r="24" ht="18.75" hidden="1" customHeight="1">
      <c r="A24" s="32">
        <f>'JULHO  2026'!A221</f>
        <v>36</v>
      </c>
      <c r="B24" s="191" t="str">
        <f>'JULHO  2026'!B221</f>
        <v>ODAIR JOSE CERQUEIRA OLIVEIRA</v>
      </c>
      <c r="C24" s="150">
        <f>'JULHO  2026'!C221</f>
        <v>46223</v>
      </c>
      <c r="D24" s="208">
        <f>'JULHO  2026'!D221</f>
        <v>20424636</v>
      </c>
      <c r="I24" s="11"/>
    </row>
    <row r="25" ht="15.75" customHeight="1">
      <c r="A25" s="32">
        <f t="shared" ref="A25:D25" si="1">A17</f>
        <v>29</v>
      </c>
      <c r="B25" s="191" t="str">
        <f t="shared" si="1"/>
        <v>VENCELENCIO PEREIRA MASCARENHAS</v>
      </c>
      <c r="C25" s="150">
        <f t="shared" si="1"/>
        <v>46216</v>
      </c>
      <c r="D25" s="32">
        <f t="shared" si="1"/>
        <v>20441002</v>
      </c>
      <c r="E25" s="190" t="s">
        <v>698</v>
      </c>
    </row>
    <row r="26" ht="15.75" customHeight="1">
      <c r="A26" s="182"/>
      <c r="B26" s="183"/>
      <c r="C26" s="184"/>
      <c r="D26" s="185"/>
      <c r="E26" s="207"/>
    </row>
    <row r="27" ht="30.0" customHeight="1">
      <c r="A27" s="32">
        <f t="shared" ref="A27:D27" si="2">A24</f>
        <v>36</v>
      </c>
      <c r="B27" s="191" t="str">
        <f t="shared" si="2"/>
        <v>ODAIR JOSE CERQUEIRA OLIVEIRA</v>
      </c>
      <c r="C27" s="150">
        <f t="shared" si="2"/>
        <v>46223</v>
      </c>
      <c r="D27" s="32">
        <f t="shared" si="2"/>
        <v>20424636</v>
      </c>
      <c r="E27" s="209" t="s">
        <v>699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B2:D2"/>
    <mergeCell ref="B3:D3"/>
    <mergeCell ref="A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2" width="32.86"/>
    <col customWidth="1" min="3" max="3" width="47.29"/>
    <col customWidth="1" min="4" max="26" width="8.71"/>
  </cols>
  <sheetData>
    <row r="1">
      <c r="A1" s="19"/>
    </row>
    <row r="2">
      <c r="A2" s="19"/>
    </row>
    <row r="3">
      <c r="A3" s="19"/>
    </row>
    <row r="4">
      <c r="A4" s="19"/>
    </row>
    <row r="5">
      <c r="A5" s="19"/>
    </row>
    <row r="6">
      <c r="A6" s="19"/>
    </row>
    <row r="7">
      <c r="A7" s="19"/>
    </row>
    <row r="8">
      <c r="A8" s="19"/>
    </row>
    <row r="9">
      <c r="A9" s="19"/>
    </row>
    <row r="10">
      <c r="A10" s="192" t="s">
        <v>672</v>
      </c>
      <c r="B10" s="109">
        <v>45331.0</v>
      </c>
      <c r="C10" s="194">
        <v>7762818.0</v>
      </c>
    </row>
    <row r="11">
      <c r="A11" s="195"/>
      <c r="B11" s="65"/>
      <c r="C11" s="197"/>
    </row>
    <row r="12">
      <c r="A12" s="195"/>
      <c r="B12" s="65"/>
      <c r="C12" s="197"/>
    </row>
    <row r="13">
      <c r="A13" s="195"/>
      <c r="B13" s="65"/>
      <c r="C13" s="197"/>
    </row>
    <row r="14">
      <c r="A14" s="198"/>
      <c r="B14" s="65"/>
      <c r="C14" s="197"/>
    </row>
    <row r="15">
      <c r="A15" s="199"/>
      <c r="B15" s="88"/>
      <c r="C15" s="89"/>
    </row>
    <row r="16">
      <c r="A16" s="192" t="s">
        <v>681</v>
      </c>
      <c r="B16" s="109">
        <v>45331.0</v>
      </c>
      <c r="C16" s="194">
        <v>7762750.0</v>
      </c>
    </row>
    <row r="17">
      <c r="A17" s="195"/>
      <c r="B17" s="65"/>
      <c r="C17" s="197"/>
    </row>
    <row r="18">
      <c r="A18" s="195"/>
      <c r="B18" s="65"/>
      <c r="C18" s="197"/>
    </row>
    <row r="19">
      <c r="A19" s="195"/>
      <c r="B19" s="65"/>
      <c r="C19" s="197"/>
    </row>
    <row r="20">
      <c r="A20" s="198"/>
      <c r="B20" s="65"/>
      <c r="C20" s="197"/>
    </row>
    <row r="21" ht="15.75" customHeight="1">
      <c r="A21" s="202"/>
      <c r="B21" s="89"/>
      <c r="C21" s="89"/>
    </row>
    <row r="22" ht="15.75" customHeight="1">
      <c r="A22" s="192" t="s">
        <v>685</v>
      </c>
      <c r="B22" s="109">
        <v>45331.0</v>
      </c>
      <c r="C22" s="194">
        <v>6443295.0</v>
      </c>
    </row>
    <row r="23" ht="15.75" customHeight="1">
      <c r="A23" s="195"/>
      <c r="B23" s="65"/>
      <c r="C23" s="197"/>
    </row>
    <row r="24" ht="15.75" customHeight="1">
      <c r="A24" s="195"/>
      <c r="B24" s="65"/>
      <c r="C24" s="197"/>
    </row>
    <row r="25" ht="15.75" customHeight="1">
      <c r="A25" s="195"/>
      <c r="B25" s="65"/>
      <c r="C25" s="197"/>
    </row>
    <row r="26" ht="15.75" customHeight="1">
      <c r="A26" s="198"/>
      <c r="B26" s="65"/>
      <c r="C26" s="197"/>
    </row>
    <row r="27" ht="15.75" customHeight="1">
      <c r="A27" s="202"/>
      <c r="B27" s="89"/>
      <c r="C27" s="89"/>
    </row>
    <row r="28" ht="15.75" customHeight="1">
      <c r="A28" s="192" t="s">
        <v>686</v>
      </c>
      <c r="B28" s="109">
        <v>45331.0</v>
      </c>
      <c r="C28" s="194">
        <v>7762776.0</v>
      </c>
    </row>
    <row r="29" ht="15.75" customHeight="1">
      <c r="A29" s="195"/>
      <c r="B29" s="65"/>
      <c r="C29" s="197"/>
    </row>
    <row r="30" ht="15.75" customHeight="1">
      <c r="A30" s="195"/>
      <c r="B30" s="65"/>
      <c r="C30" s="197"/>
    </row>
    <row r="31" ht="15.75" customHeight="1">
      <c r="A31" s="195"/>
      <c r="B31" s="65"/>
      <c r="C31" s="197"/>
    </row>
    <row r="32" ht="15.75" customHeight="1">
      <c r="A32" s="198"/>
      <c r="B32" s="65"/>
      <c r="C32" s="197"/>
    </row>
    <row r="33" ht="15.75" customHeight="1">
      <c r="A33" s="202"/>
      <c r="B33" s="89"/>
      <c r="C33" s="89"/>
    </row>
    <row r="34" ht="15.75" customHeight="1">
      <c r="A34" s="192" t="s">
        <v>687</v>
      </c>
      <c r="B34" s="109">
        <v>45331.0</v>
      </c>
      <c r="C34" s="194">
        <v>7828932.0</v>
      </c>
    </row>
    <row r="35" ht="15.75" customHeight="1">
      <c r="A35" s="195"/>
      <c r="B35" s="65"/>
      <c r="C35" s="197"/>
    </row>
    <row r="36" ht="15.75" customHeight="1">
      <c r="A36" s="195"/>
      <c r="B36" s="65"/>
      <c r="C36" s="197"/>
    </row>
    <row r="37" ht="15.75" customHeight="1">
      <c r="A37" s="195"/>
      <c r="B37" s="65"/>
      <c r="C37" s="197"/>
    </row>
    <row r="38" ht="15.75" customHeight="1">
      <c r="A38" s="198"/>
      <c r="B38" s="65"/>
      <c r="C38" s="197"/>
    </row>
    <row r="39" ht="15.75" customHeight="1">
      <c r="A39" s="202"/>
      <c r="B39" s="89"/>
      <c r="C39" s="89"/>
    </row>
    <row r="40" ht="15.75" customHeight="1">
      <c r="A40" s="203" t="s">
        <v>689</v>
      </c>
      <c r="B40" s="109">
        <v>45331.0</v>
      </c>
      <c r="C40" s="194">
        <v>5257415.0</v>
      </c>
    </row>
    <row r="41" ht="15.75" customHeight="1">
      <c r="A41" s="195"/>
      <c r="B41" s="65"/>
      <c r="C41" s="197"/>
    </row>
    <row r="42" ht="15.75" customHeight="1">
      <c r="A42" s="195"/>
      <c r="B42" s="65"/>
      <c r="C42" s="197"/>
    </row>
    <row r="43" ht="15.75" customHeight="1">
      <c r="A43" s="195"/>
      <c r="B43" s="65"/>
      <c r="C43" s="197"/>
    </row>
    <row r="44" ht="15.75" customHeight="1">
      <c r="A44" s="198"/>
      <c r="B44" s="65"/>
      <c r="C44" s="197"/>
    </row>
    <row r="45" ht="15.75" customHeight="1">
      <c r="A45" s="202"/>
      <c r="B45" s="89"/>
      <c r="C45" s="89"/>
    </row>
    <row r="46" ht="15.75" customHeight="1">
      <c r="A46" s="192" t="s">
        <v>690</v>
      </c>
      <c r="B46" s="109">
        <v>45331.0</v>
      </c>
      <c r="C46" s="194">
        <v>7762727.0</v>
      </c>
    </row>
    <row r="47" ht="15.75" customHeight="1">
      <c r="A47" s="195"/>
      <c r="B47" s="65"/>
      <c r="C47" s="197"/>
    </row>
    <row r="48" ht="15.75" customHeight="1">
      <c r="A48" s="195"/>
      <c r="B48" s="65"/>
      <c r="C48" s="197"/>
    </row>
    <row r="49" ht="15.75" customHeight="1">
      <c r="A49" s="195"/>
      <c r="B49" s="65"/>
      <c r="C49" s="197"/>
    </row>
    <row r="50" ht="15.75" customHeight="1">
      <c r="A50" s="198"/>
      <c r="B50" s="65"/>
      <c r="C50" s="197"/>
    </row>
    <row r="51" ht="15.75" customHeight="1">
      <c r="A51" s="202"/>
      <c r="B51" s="89"/>
      <c r="C51" s="89"/>
    </row>
    <row r="52" ht="15.75" customHeight="1">
      <c r="A52" s="192" t="s">
        <v>691</v>
      </c>
      <c r="B52" s="109">
        <v>45331.0</v>
      </c>
      <c r="C52" s="194">
        <v>7762552.0</v>
      </c>
    </row>
    <row r="53" ht="15.75" customHeight="1">
      <c r="A53" s="195"/>
      <c r="B53" s="65"/>
      <c r="C53" s="197"/>
    </row>
    <row r="54" ht="15.75" customHeight="1">
      <c r="A54" s="195"/>
      <c r="B54" s="65"/>
      <c r="C54" s="197"/>
    </row>
    <row r="55" ht="15.75" customHeight="1">
      <c r="A55" s="19"/>
    </row>
    <row r="56" ht="15.75" customHeight="1">
      <c r="A56" s="19"/>
    </row>
    <row r="57" ht="15.75" customHeight="1">
      <c r="A57" s="19"/>
    </row>
    <row r="58" ht="15.75" customHeight="1">
      <c r="A58" s="19"/>
    </row>
    <row r="59" ht="15.75" customHeight="1">
      <c r="A59" s="19"/>
    </row>
    <row r="60" ht="15.75" customHeight="1">
      <c r="A60" s="19"/>
    </row>
    <row r="61" ht="15.75" customHeight="1">
      <c r="A61" s="204">
        <f>9513.6+29704.76</f>
        <v>39218.36</v>
      </c>
    </row>
    <row r="62" ht="15.75" customHeight="1">
      <c r="A62" s="19"/>
    </row>
    <row r="63" ht="15.75" customHeight="1">
      <c r="A63" s="19"/>
    </row>
    <row r="64" ht="15.75" customHeight="1">
      <c r="A64" s="19"/>
    </row>
    <row r="65" ht="15.75" customHeight="1">
      <c r="A65" s="19"/>
    </row>
    <row r="66" ht="15.75" customHeight="1">
      <c r="A66" s="19"/>
    </row>
    <row r="67" ht="15.75" customHeight="1">
      <c r="A67" s="19"/>
    </row>
    <row r="68" ht="15.75" customHeight="1">
      <c r="A68" s="19"/>
    </row>
    <row r="69" ht="15.75" customHeight="1">
      <c r="A69" s="19"/>
    </row>
    <row r="70" ht="15.75" customHeight="1">
      <c r="A70" s="19"/>
    </row>
    <row r="71" ht="15.75" customHeight="1">
      <c r="A71" s="19"/>
    </row>
    <row r="72" ht="15.75" customHeight="1">
      <c r="A72" s="19"/>
    </row>
    <row r="73" ht="15.75" customHeight="1">
      <c r="A73" s="19"/>
    </row>
    <row r="74" ht="15.75" customHeight="1">
      <c r="A74" s="19"/>
    </row>
    <row r="75" ht="15.75" customHeight="1">
      <c r="A75" s="19"/>
    </row>
    <row r="76" ht="15.75" customHeight="1">
      <c r="A76" s="19"/>
    </row>
    <row r="77" ht="15.75" customHeight="1">
      <c r="A77" s="19"/>
    </row>
    <row r="78" ht="15.75" customHeight="1">
      <c r="A78" s="19"/>
    </row>
    <row r="79" ht="15.75" customHeight="1">
      <c r="A79" s="19"/>
    </row>
    <row r="80" ht="15.75" customHeight="1">
      <c r="A80" s="19"/>
    </row>
    <row r="81" ht="15.75" customHeight="1">
      <c r="A81" s="19"/>
    </row>
    <row r="82" ht="15.75" customHeight="1">
      <c r="A82" s="19"/>
    </row>
    <row r="83" ht="15.75" customHeight="1">
      <c r="A83" s="19"/>
    </row>
    <row r="84" ht="15.75" customHeight="1">
      <c r="A84" s="19"/>
    </row>
    <row r="85" ht="15.75" customHeight="1">
      <c r="A85" s="19"/>
    </row>
    <row r="86" ht="15.75" customHeight="1">
      <c r="A86" s="19"/>
    </row>
    <row r="87" ht="15.75" customHeight="1">
      <c r="A87" s="19"/>
    </row>
    <row r="88" ht="15.75" customHeight="1">
      <c r="A88" s="19"/>
    </row>
    <row r="89" ht="15.75" customHeight="1">
      <c r="A89" s="19"/>
    </row>
    <row r="90" ht="15.75" customHeight="1">
      <c r="A90" s="19"/>
    </row>
    <row r="91" ht="15.75" customHeight="1">
      <c r="A91" s="19"/>
    </row>
    <row r="92" ht="15.75" customHeight="1">
      <c r="A92" s="19"/>
    </row>
    <row r="93" ht="15.75" customHeight="1">
      <c r="A93" s="19"/>
    </row>
    <row r="94" ht="15.75" customHeight="1">
      <c r="A94" s="19"/>
    </row>
    <row r="95" ht="15.75" customHeight="1">
      <c r="A95" s="19"/>
    </row>
    <row r="96" ht="15.75" customHeight="1">
      <c r="A96" s="19"/>
    </row>
    <row r="97" ht="15.75" customHeight="1">
      <c r="A97" s="19"/>
    </row>
    <row r="98" ht="15.75" customHeight="1">
      <c r="A98" s="19"/>
    </row>
    <row r="99" ht="15.75" customHeight="1">
      <c r="A99" s="19"/>
    </row>
    <row r="100" ht="15.75" customHeight="1">
      <c r="A100" s="19"/>
    </row>
    <row r="101" ht="15.75" customHeight="1">
      <c r="A101" s="19"/>
    </row>
    <row r="102" ht="15.75" customHeight="1">
      <c r="A102" s="19"/>
    </row>
    <row r="103" ht="15.75" customHeight="1">
      <c r="A103" s="19"/>
    </row>
    <row r="104" ht="15.75" customHeight="1">
      <c r="A104" s="19"/>
    </row>
    <row r="105" ht="15.75" customHeight="1">
      <c r="A105" s="19"/>
    </row>
    <row r="106" ht="15.75" customHeight="1">
      <c r="A106" s="19"/>
    </row>
    <row r="107" ht="15.75" customHeight="1">
      <c r="A107" s="19"/>
    </row>
    <row r="108" ht="15.75" customHeight="1">
      <c r="A108" s="19"/>
    </row>
    <row r="109" ht="15.75" customHeight="1">
      <c r="A109" s="19"/>
    </row>
    <row r="110" ht="15.75" customHeight="1">
      <c r="A110" s="19"/>
    </row>
    <row r="111" ht="15.75" customHeight="1">
      <c r="A111" s="19"/>
    </row>
    <row r="112" ht="15.75" customHeight="1">
      <c r="A112" s="19"/>
    </row>
    <row r="113" ht="15.75" customHeight="1">
      <c r="A113" s="19"/>
    </row>
    <row r="114" ht="15.75" customHeight="1">
      <c r="A114" s="19"/>
    </row>
    <row r="115" ht="15.75" customHeight="1">
      <c r="A115" s="19"/>
    </row>
    <row r="116" ht="15.75" customHeight="1">
      <c r="A116" s="19"/>
    </row>
    <row r="117" ht="15.75" customHeight="1">
      <c r="A117" s="19"/>
    </row>
    <row r="118" ht="15.75" customHeight="1">
      <c r="A118" s="19"/>
    </row>
    <row r="119" ht="15.75" customHeight="1">
      <c r="A119" s="19"/>
    </row>
    <row r="120" ht="15.75" customHeight="1">
      <c r="A120" s="19"/>
    </row>
    <row r="121" ht="15.75" customHeight="1">
      <c r="A121" s="19"/>
    </row>
    <row r="122" ht="15.75" customHeight="1">
      <c r="A122" s="19"/>
    </row>
    <row r="123" ht="15.75" customHeight="1">
      <c r="A123" s="19"/>
    </row>
    <row r="124" ht="15.75" customHeight="1">
      <c r="A124" s="19"/>
    </row>
    <row r="125" ht="15.75" customHeight="1">
      <c r="A125" s="19"/>
    </row>
    <row r="126" ht="15.75" customHeight="1">
      <c r="A126" s="19"/>
    </row>
    <row r="127" ht="15.75" customHeight="1">
      <c r="A127" s="19"/>
    </row>
    <row r="128" ht="15.75" customHeight="1">
      <c r="A128" s="19"/>
    </row>
    <row r="129" ht="15.75" customHeight="1">
      <c r="A129" s="19"/>
    </row>
    <row r="130" ht="15.75" customHeight="1">
      <c r="A130" s="19"/>
    </row>
    <row r="131" ht="15.75" customHeight="1">
      <c r="A131" s="19"/>
    </row>
    <row r="132" ht="15.75" customHeight="1">
      <c r="A132" s="19"/>
    </row>
    <row r="133" ht="15.75" customHeight="1">
      <c r="A133" s="19"/>
    </row>
    <row r="134" ht="15.75" customHeight="1">
      <c r="A134" s="19"/>
    </row>
    <row r="135" ht="15.75" customHeight="1">
      <c r="A135" s="19"/>
    </row>
    <row r="136" ht="15.75" customHeight="1">
      <c r="A136" s="19"/>
    </row>
    <row r="137" ht="15.75" customHeight="1">
      <c r="A137" s="19"/>
    </row>
    <row r="138" ht="15.75" customHeight="1">
      <c r="A138" s="19"/>
    </row>
    <row r="139" ht="15.75" customHeight="1">
      <c r="A139" s="19"/>
    </row>
    <row r="140" ht="15.75" customHeight="1">
      <c r="A140" s="19"/>
    </row>
    <row r="141" ht="15.75" customHeight="1">
      <c r="A141" s="19"/>
    </row>
    <row r="142" ht="15.75" customHeight="1">
      <c r="A142" s="19"/>
    </row>
    <row r="143" ht="15.75" customHeight="1">
      <c r="A143" s="19"/>
    </row>
    <row r="144" ht="15.75" customHeight="1">
      <c r="A144" s="19"/>
    </row>
    <row r="145" ht="15.75" customHeight="1">
      <c r="A145" s="19"/>
    </row>
    <row r="146" ht="15.75" customHeight="1">
      <c r="A146" s="19"/>
    </row>
    <row r="147" ht="15.75" customHeight="1">
      <c r="A147" s="19"/>
    </row>
    <row r="148" ht="15.75" customHeight="1">
      <c r="A148" s="19"/>
    </row>
    <row r="149" ht="15.75" customHeight="1">
      <c r="A149" s="19"/>
    </row>
    <row r="150" ht="15.75" customHeight="1">
      <c r="A150" s="19"/>
    </row>
    <row r="151" ht="15.75" customHeight="1">
      <c r="A151" s="19"/>
    </row>
    <row r="152" ht="15.75" customHeight="1">
      <c r="A152" s="19"/>
    </row>
    <row r="153" ht="15.75" customHeight="1">
      <c r="A153" s="19"/>
    </row>
    <row r="154" ht="15.75" customHeight="1">
      <c r="A154" s="19"/>
    </row>
    <row r="155" ht="15.75" customHeight="1">
      <c r="A155" s="19"/>
    </row>
    <row r="156" ht="15.75" customHeight="1">
      <c r="A156" s="19"/>
    </row>
    <row r="157" ht="15.75" customHeight="1">
      <c r="A157" s="19"/>
    </row>
    <row r="158" ht="15.75" customHeight="1">
      <c r="A158" s="19"/>
    </row>
    <row r="159" ht="15.75" customHeight="1">
      <c r="A159" s="19"/>
    </row>
    <row r="160" ht="15.75" customHeight="1">
      <c r="A160" s="19"/>
    </row>
    <row r="161" ht="15.75" customHeight="1">
      <c r="A161" s="19"/>
    </row>
    <row r="162" ht="15.75" customHeight="1">
      <c r="A162" s="19"/>
    </row>
    <row r="163" ht="15.75" customHeight="1">
      <c r="A163" s="19"/>
    </row>
    <row r="164" ht="15.75" customHeight="1">
      <c r="A164" s="19"/>
    </row>
    <row r="165" ht="15.75" customHeight="1">
      <c r="A165" s="19"/>
    </row>
    <row r="166" ht="15.75" customHeight="1">
      <c r="A166" s="19"/>
    </row>
    <row r="167" ht="15.75" customHeight="1">
      <c r="A167" s="19"/>
    </row>
    <row r="168" ht="15.75" customHeight="1">
      <c r="A168" s="19"/>
    </row>
    <row r="169" ht="15.75" customHeight="1">
      <c r="A169" s="19"/>
    </row>
    <row r="170" ht="15.75" customHeight="1">
      <c r="A170" s="19"/>
    </row>
    <row r="171" ht="15.75" customHeight="1">
      <c r="A171" s="19"/>
    </row>
    <row r="172" ht="15.75" customHeight="1">
      <c r="A172" s="19"/>
    </row>
    <row r="173" ht="15.75" customHeight="1">
      <c r="A173" s="19"/>
    </row>
    <row r="174" ht="15.75" customHeight="1">
      <c r="A174" s="19"/>
    </row>
    <row r="175" ht="15.75" customHeight="1">
      <c r="A175" s="19"/>
    </row>
    <row r="176" ht="15.75" customHeight="1">
      <c r="A176" s="19"/>
    </row>
    <row r="177" ht="15.75" customHeight="1">
      <c r="A177" s="19"/>
    </row>
    <row r="178" ht="15.75" customHeight="1">
      <c r="A178" s="19"/>
    </row>
    <row r="179" ht="15.75" customHeight="1">
      <c r="A179" s="19"/>
    </row>
    <row r="180" ht="15.75" customHeight="1">
      <c r="A180" s="19"/>
    </row>
    <row r="181" ht="15.75" customHeight="1">
      <c r="A181" s="19"/>
    </row>
    <row r="182" ht="15.75" customHeight="1">
      <c r="A182" s="19"/>
    </row>
    <row r="183" ht="15.75" customHeight="1">
      <c r="A183" s="19"/>
    </row>
    <row r="184" ht="15.75" customHeight="1">
      <c r="A184" s="19"/>
    </row>
    <row r="185" ht="15.75" customHeight="1">
      <c r="A185" s="19"/>
    </row>
    <row r="186" ht="15.75" customHeight="1">
      <c r="A186" s="19"/>
    </row>
    <row r="187" ht="15.75" customHeight="1">
      <c r="A187" s="19"/>
    </row>
    <row r="188" ht="15.75" customHeight="1">
      <c r="A188" s="19"/>
    </row>
    <row r="189" ht="15.75" customHeight="1">
      <c r="A189" s="19"/>
    </row>
    <row r="190" ht="15.75" customHeight="1">
      <c r="A190" s="19"/>
    </row>
    <row r="191" ht="15.75" customHeight="1">
      <c r="A191" s="19"/>
    </row>
    <row r="192" ht="15.75" customHeight="1">
      <c r="A192" s="19"/>
    </row>
    <row r="193" ht="15.75" customHeight="1">
      <c r="A193" s="19"/>
    </row>
    <row r="194" ht="15.75" customHeight="1">
      <c r="A194" s="19"/>
    </row>
    <row r="195" ht="15.75" customHeight="1">
      <c r="A195" s="19"/>
    </row>
    <row r="196" ht="15.75" customHeight="1">
      <c r="A196" s="19"/>
    </row>
    <row r="197" ht="15.75" customHeight="1">
      <c r="A197" s="19"/>
    </row>
    <row r="198" ht="15.75" customHeight="1">
      <c r="A198" s="19"/>
    </row>
    <row r="199" ht="15.75" customHeight="1">
      <c r="A199" s="19"/>
    </row>
    <row r="200" ht="15.75" customHeight="1">
      <c r="A200" s="19"/>
    </row>
    <row r="201" ht="15.75" customHeight="1">
      <c r="A201" s="19"/>
    </row>
    <row r="202" ht="15.75" customHeight="1">
      <c r="A202" s="19"/>
    </row>
    <row r="203" ht="15.75" customHeight="1">
      <c r="A203" s="19"/>
    </row>
    <row r="204" ht="15.75" customHeight="1">
      <c r="A204" s="19"/>
    </row>
    <row r="205" ht="15.75" customHeight="1">
      <c r="A205" s="19"/>
    </row>
    <row r="206" ht="15.75" customHeight="1">
      <c r="A206" s="19"/>
    </row>
    <row r="207" ht="15.75" customHeight="1">
      <c r="A207" s="19"/>
    </row>
    <row r="208" ht="15.75" customHeight="1">
      <c r="A208" s="19"/>
    </row>
    <row r="209" ht="15.75" customHeight="1">
      <c r="A209" s="19"/>
    </row>
    <row r="210" ht="15.75" customHeight="1">
      <c r="A210" s="19"/>
    </row>
    <row r="211" ht="15.75" customHeight="1">
      <c r="A211" s="19"/>
    </row>
    <row r="212" ht="15.75" customHeight="1">
      <c r="A212" s="19"/>
    </row>
    <row r="213" ht="15.75" customHeight="1">
      <c r="A213" s="19"/>
    </row>
    <row r="214" ht="15.75" customHeight="1">
      <c r="A214" s="19"/>
    </row>
    <row r="215" ht="15.75" customHeight="1">
      <c r="A215" s="19"/>
    </row>
    <row r="216" ht="15.75" customHeight="1">
      <c r="A216" s="19"/>
    </row>
    <row r="217" ht="15.75" customHeight="1">
      <c r="A217" s="19"/>
    </row>
    <row r="218" ht="15.75" customHeight="1">
      <c r="A218" s="19"/>
    </row>
    <row r="219" ht="15.75" customHeight="1">
      <c r="A219" s="19"/>
    </row>
    <row r="220" ht="15.75" customHeight="1">
      <c r="A220" s="19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7.29"/>
    <col customWidth="1" min="3" max="3" width="15.86"/>
    <col customWidth="1" min="4" max="4" width="19.29"/>
    <col customWidth="1" min="5" max="5" width="32.29"/>
    <col customWidth="1" min="6" max="6" width="21.0"/>
    <col customWidth="1" min="7" max="26" width="8.71"/>
  </cols>
  <sheetData>
    <row r="1">
      <c r="A1" s="19"/>
      <c r="B1" s="167" t="s">
        <v>0</v>
      </c>
      <c r="D1" s="4"/>
      <c r="E1" s="168"/>
    </row>
    <row r="2">
      <c r="A2" s="19"/>
      <c r="B2" s="169" t="s">
        <v>1</v>
      </c>
      <c r="E2" s="168"/>
    </row>
    <row r="3">
      <c r="A3" s="19"/>
      <c r="B3" s="169" t="s">
        <v>2</v>
      </c>
      <c r="E3" s="168"/>
    </row>
    <row r="4">
      <c r="A4" s="15"/>
    </row>
    <row r="5">
      <c r="A5" s="15"/>
      <c r="B5" s="15"/>
      <c r="D5" s="17" t="s">
        <v>703</v>
      </c>
      <c r="E5" s="17"/>
    </row>
    <row r="6">
      <c r="A6" s="170" t="s">
        <v>4</v>
      </c>
      <c r="B6" s="171"/>
      <c r="C6" s="172"/>
      <c r="D6" s="18"/>
      <c r="E6" s="172"/>
    </row>
    <row r="7">
      <c r="A7" s="170" t="s">
        <v>5</v>
      </c>
      <c r="B7" s="171"/>
      <c r="C7" s="172"/>
      <c r="D7" s="18"/>
      <c r="E7" s="172"/>
    </row>
    <row r="8">
      <c r="A8" s="170" t="s">
        <v>662</v>
      </c>
      <c r="B8" s="171"/>
      <c r="C8" s="172"/>
      <c r="D8" s="18"/>
      <c r="E8" s="172"/>
    </row>
    <row r="11">
      <c r="A11" s="174" t="s">
        <v>663</v>
      </c>
      <c r="B11" s="176" t="s">
        <v>665</v>
      </c>
      <c r="C11" s="177" t="s">
        <v>21</v>
      </c>
      <c r="D11" s="177" t="s">
        <v>27</v>
      </c>
      <c r="E11" s="177" t="s">
        <v>666</v>
      </c>
      <c r="F11" s="177" t="s">
        <v>704</v>
      </c>
    </row>
    <row r="12">
      <c r="A12" s="178"/>
      <c r="B12" s="210"/>
      <c r="C12" s="180"/>
      <c r="D12" s="68"/>
      <c r="E12" s="181"/>
      <c r="F12" s="181"/>
    </row>
    <row r="13">
      <c r="A13" s="182"/>
      <c r="B13" s="183"/>
      <c r="C13" s="184"/>
      <c r="D13" s="185"/>
      <c r="E13" s="186"/>
      <c r="F13" s="186"/>
    </row>
    <row r="14">
      <c r="A14" s="187"/>
      <c r="B14" s="190" t="s">
        <v>706</v>
      </c>
      <c r="C14" s="189">
        <v>45372.0</v>
      </c>
      <c r="D14" s="187">
        <v>7778368.0</v>
      </c>
      <c r="E14" s="190" t="s">
        <v>707</v>
      </c>
      <c r="F14" s="190" t="s">
        <v>599</v>
      </c>
    </row>
    <row r="15">
      <c r="A15" s="32"/>
      <c r="B15" s="45" t="s">
        <v>708</v>
      </c>
      <c r="C15" s="150">
        <v>45374.0</v>
      </c>
      <c r="D15" s="32">
        <v>8287229.0</v>
      </c>
      <c r="E15" s="190" t="s">
        <v>707</v>
      </c>
      <c r="F15" s="190" t="s">
        <v>709</v>
      </c>
    </row>
    <row r="16">
      <c r="A16" s="32"/>
      <c r="B16" s="45" t="s">
        <v>710</v>
      </c>
      <c r="C16" s="150">
        <v>45376.0</v>
      </c>
      <c r="D16" s="32">
        <v>4439972.0</v>
      </c>
      <c r="E16" s="190" t="s">
        <v>707</v>
      </c>
      <c r="F16" s="190" t="s">
        <v>711</v>
      </c>
    </row>
    <row r="17">
      <c r="A17" s="32"/>
      <c r="B17" s="45"/>
      <c r="C17" s="150"/>
      <c r="D17" s="32"/>
      <c r="E17" s="190"/>
      <c r="F17" s="190"/>
    </row>
    <row r="18">
      <c r="A18" s="32"/>
      <c r="B18" s="45"/>
      <c r="C18" s="150"/>
      <c r="D18" s="32"/>
      <c r="E18" s="190"/>
      <c r="F18" s="190"/>
    </row>
    <row r="19">
      <c r="A19" s="32"/>
      <c r="B19" s="45"/>
      <c r="C19" s="150"/>
      <c r="D19" s="32"/>
      <c r="E19" s="190"/>
      <c r="F19" s="190"/>
    </row>
    <row r="20">
      <c r="A20" s="32"/>
      <c r="B20" s="45"/>
      <c r="C20" s="150"/>
      <c r="D20" s="32"/>
      <c r="E20" s="190"/>
      <c r="F20" s="190"/>
    </row>
    <row r="21" ht="15.75" customHeight="1">
      <c r="A21" s="196"/>
      <c r="B21" s="211"/>
      <c r="C21" s="205"/>
      <c r="D21" s="196"/>
      <c r="E21" s="206"/>
      <c r="F21" s="206"/>
    </row>
    <row r="22" ht="15.75" customHeight="1">
      <c r="A22" s="182"/>
      <c r="B22" s="183"/>
      <c r="C22" s="184"/>
      <c r="D22" s="185"/>
      <c r="E22" s="207"/>
      <c r="F22" s="20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B2:D2"/>
    <mergeCell ref="B3:D3"/>
    <mergeCell ref="A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>
      <c r="P24" s="130">
        <v>4.0</v>
      </c>
      <c r="R24" s="130">
        <v>12.0</v>
      </c>
    </row>
    <row r="25" ht="15.75" customHeight="1">
      <c r="P25" s="130">
        <v>2.0</v>
      </c>
      <c r="R25" s="130">
        <v>4.0</v>
      </c>
    </row>
    <row r="26" ht="15.75" customHeight="1">
      <c r="P26" s="130">
        <v>4.0</v>
      </c>
      <c r="R26" s="130">
        <v>5.0</v>
      </c>
    </row>
    <row r="27" ht="15.75" customHeight="1">
      <c r="P27" s="130">
        <v>2.0</v>
      </c>
      <c r="R27" s="130">
        <v>16.0</v>
      </c>
    </row>
    <row r="28" ht="15.75" customHeight="1">
      <c r="P28" s="130">
        <f>SUM(P24:P27)</f>
        <v>12</v>
      </c>
      <c r="R28" s="130">
        <v>4.0</v>
      </c>
    </row>
    <row r="29" ht="15.75" customHeight="1">
      <c r="R29" s="130">
        <f>SUM(R24:R28)</f>
        <v>41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7.29"/>
    <col customWidth="1" min="3" max="3" width="15.86"/>
    <col customWidth="1" min="4" max="4" width="19.29"/>
    <col customWidth="1" min="5" max="5" width="28.43"/>
    <col customWidth="1" min="6" max="6" width="25.14"/>
    <col customWidth="1" min="7" max="26" width="8.71"/>
  </cols>
  <sheetData>
    <row r="1">
      <c r="A1" s="19"/>
      <c r="B1" s="167" t="s">
        <v>0</v>
      </c>
      <c r="D1" s="4"/>
      <c r="E1" s="168"/>
    </row>
    <row r="2">
      <c r="A2" s="19"/>
      <c r="B2" s="169" t="s">
        <v>1</v>
      </c>
      <c r="E2" s="168"/>
    </row>
    <row r="3">
      <c r="A3" s="19"/>
      <c r="B3" s="169" t="s">
        <v>2</v>
      </c>
      <c r="E3" s="168"/>
    </row>
    <row r="4">
      <c r="A4" s="15"/>
    </row>
    <row r="5">
      <c r="A5" s="15"/>
      <c r="B5" s="15"/>
      <c r="D5" s="17" t="s">
        <v>703</v>
      </c>
      <c r="E5" s="17"/>
    </row>
    <row r="6">
      <c r="A6" s="170" t="s">
        <v>4</v>
      </c>
      <c r="B6" s="171"/>
      <c r="C6" s="172"/>
      <c r="D6" s="18"/>
      <c r="E6" s="172"/>
    </row>
    <row r="7">
      <c r="A7" s="170" t="s">
        <v>5</v>
      </c>
      <c r="B7" s="171"/>
      <c r="C7" s="172"/>
      <c r="D7" s="18"/>
      <c r="E7" s="172"/>
    </row>
    <row r="8">
      <c r="A8" s="170" t="s">
        <v>662</v>
      </c>
      <c r="B8" s="171"/>
      <c r="C8" s="172"/>
      <c r="D8" s="18"/>
      <c r="E8" s="172"/>
    </row>
    <row r="11">
      <c r="A11" s="174" t="s">
        <v>663</v>
      </c>
      <c r="B11" s="176" t="s">
        <v>665</v>
      </c>
      <c r="C11" s="177" t="s">
        <v>21</v>
      </c>
      <c r="D11" s="177" t="s">
        <v>27</v>
      </c>
      <c r="E11" s="177" t="s">
        <v>666</v>
      </c>
      <c r="F11" s="177" t="s">
        <v>704</v>
      </c>
    </row>
    <row r="12">
      <c r="A12" s="178"/>
      <c r="B12" s="210"/>
      <c r="C12" s="180"/>
      <c r="D12" s="68"/>
      <c r="E12" s="181"/>
      <c r="F12" s="181"/>
    </row>
    <row r="13">
      <c r="A13" s="182"/>
      <c r="B13" s="183"/>
      <c r="C13" s="184"/>
      <c r="D13" s="185"/>
      <c r="E13" s="186"/>
      <c r="F13" s="186"/>
    </row>
    <row r="14">
      <c r="A14" s="187"/>
      <c r="B14" s="212" t="s">
        <v>717</v>
      </c>
      <c r="C14" s="189">
        <v>45353.0</v>
      </c>
      <c r="D14" s="187">
        <v>7999287.0</v>
      </c>
      <c r="E14" s="187" t="s">
        <v>718</v>
      </c>
      <c r="F14" s="213" t="s">
        <v>711</v>
      </c>
    </row>
    <row r="15">
      <c r="A15" s="32"/>
      <c r="B15" s="35" t="s">
        <v>719</v>
      </c>
      <c r="C15" s="150">
        <v>45357.0</v>
      </c>
      <c r="D15" s="32">
        <v>7923600.0</v>
      </c>
      <c r="E15" s="187" t="s">
        <v>592</v>
      </c>
      <c r="F15" s="213" t="s">
        <v>720</v>
      </c>
    </row>
    <row r="16">
      <c r="A16" s="32"/>
      <c r="B16" s="35" t="s">
        <v>721</v>
      </c>
      <c r="C16" s="214">
        <v>45382.0</v>
      </c>
      <c r="D16" s="32">
        <v>8347171.0</v>
      </c>
      <c r="E16" s="189">
        <v>45381.0</v>
      </c>
      <c r="F16" s="187" t="s">
        <v>599</v>
      </c>
    </row>
    <row r="17">
      <c r="A17" s="32"/>
      <c r="B17" s="35" t="s">
        <v>722</v>
      </c>
      <c r="C17" s="150">
        <v>45355.0</v>
      </c>
      <c r="D17" s="32">
        <v>8007437.0</v>
      </c>
      <c r="E17" s="187" t="s">
        <v>723</v>
      </c>
      <c r="F17" s="187" t="s">
        <v>592</v>
      </c>
    </row>
    <row r="18">
      <c r="A18" s="32"/>
      <c r="B18" s="35" t="s">
        <v>724</v>
      </c>
      <c r="C18" s="150">
        <v>45360.0</v>
      </c>
      <c r="D18" s="32">
        <v>785115.0</v>
      </c>
      <c r="E18" s="187" t="s">
        <v>723</v>
      </c>
      <c r="F18" s="187" t="s">
        <v>583</v>
      </c>
    </row>
    <row r="19">
      <c r="A19" s="32"/>
      <c r="B19" s="35" t="s">
        <v>725</v>
      </c>
      <c r="C19" s="150">
        <v>45360.0</v>
      </c>
      <c r="D19" s="32">
        <v>7772700.0</v>
      </c>
      <c r="E19" s="187" t="s">
        <v>723</v>
      </c>
      <c r="F19" s="215" t="s">
        <v>711</v>
      </c>
    </row>
    <row r="20">
      <c r="A20" s="32"/>
      <c r="B20" s="35" t="s">
        <v>727</v>
      </c>
      <c r="C20" s="216" t="s">
        <v>728</v>
      </c>
      <c r="D20" s="133">
        <v>7996119.0</v>
      </c>
      <c r="E20" s="217" t="s">
        <v>723</v>
      </c>
      <c r="F20" s="217" t="s">
        <v>599</v>
      </c>
    </row>
    <row r="21" ht="15.75" customHeight="1">
      <c r="A21" s="32"/>
      <c r="B21" s="45" t="s">
        <v>730</v>
      </c>
      <c r="C21" s="150" t="s">
        <v>731</v>
      </c>
      <c r="D21" s="32">
        <v>6857809.0</v>
      </c>
      <c r="E21" s="187" t="s">
        <v>723</v>
      </c>
      <c r="F21" s="215" t="s">
        <v>711</v>
      </c>
    </row>
    <row r="22" ht="15.75" customHeight="1">
      <c r="A22" s="32"/>
      <c r="B22" s="45" t="s">
        <v>732</v>
      </c>
      <c r="C22" s="150">
        <v>45365.0</v>
      </c>
      <c r="D22" s="32">
        <v>6710529.0</v>
      </c>
      <c r="E22" s="187" t="s">
        <v>723</v>
      </c>
      <c r="F22" s="32" t="s">
        <v>599</v>
      </c>
    </row>
    <row r="23" ht="15.75" customHeight="1">
      <c r="A23" s="32"/>
      <c r="B23" s="45"/>
      <c r="C23" s="150"/>
      <c r="D23" s="32"/>
      <c r="E23" s="32"/>
      <c r="F23" s="32"/>
    </row>
    <row r="24" ht="15.75" customHeight="1">
      <c r="A24" s="182"/>
      <c r="B24" s="183"/>
      <c r="C24" s="184"/>
      <c r="D24" s="185"/>
      <c r="E24" s="207"/>
      <c r="F24" s="20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B2:D2"/>
    <mergeCell ref="B3:D3"/>
    <mergeCell ref="A4:E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M33" s="130">
        <v>9.0</v>
      </c>
    </row>
    <row r="34" ht="15.75" customHeight="1">
      <c r="M34" s="130">
        <v>9.0</v>
      </c>
    </row>
    <row r="35" ht="15.75" customHeight="1">
      <c r="M35" s="130">
        <v>10.0</v>
      </c>
    </row>
    <row r="36" ht="15.75" customHeight="1">
      <c r="M36" s="130">
        <v>10.0</v>
      </c>
    </row>
    <row r="37" ht="15.75" customHeight="1">
      <c r="M37" s="130">
        <v>9.0</v>
      </c>
    </row>
    <row r="38" ht="15.75" customHeight="1">
      <c r="M38" s="130">
        <v>8.0</v>
      </c>
    </row>
    <row r="39" ht="15.75" customHeight="1">
      <c r="M39" s="130">
        <v>9.0</v>
      </c>
    </row>
    <row r="40" ht="15.75" customHeight="1">
      <c r="M40" s="130">
        <v>11.0</v>
      </c>
    </row>
    <row r="41" ht="15.75" customHeight="1">
      <c r="M41" s="130">
        <v>4.0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9.71"/>
    <col customWidth="1" min="3" max="3" width="15.29"/>
    <col customWidth="1" min="4" max="4" width="20.43"/>
    <col customWidth="1" hidden="1" min="5" max="5" width="28.0"/>
    <col customWidth="1" hidden="1" min="6" max="6" width="16.57"/>
    <col customWidth="1" hidden="1" min="7" max="7" width="18.14"/>
    <col customWidth="1" min="8" max="8" width="27.29"/>
    <col customWidth="1" min="9" max="9" width="24.29"/>
    <col customWidth="1" min="10" max="26" width="8.71"/>
  </cols>
  <sheetData>
    <row r="1">
      <c r="A1" s="11"/>
      <c r="B1" s="19"/>
      <c r="C1" s="11"/>
      <c r="D1" s="11"/>
    </row>
    <row r="2">
      <c r="A2" s="11"/>
      <c r="B2" s="19"/>
      <c r="C2" s="11"/>
      <c r="D2" s="11"/>
    </row>
    <row r="3">
      <c r="A3" s="218">
        <v>12.0</v>
      </c>
      <c r="B3" s="219" t="s">
        <v>738</v>
      </c>
      <c r="C3" s="220">
        <v>45618.0</v>
      </c>
      <c r="D3" s="218">
        <v>1.0748739E7</v>
      </c>
      <c r="H3" s="130" t="str">
        <f>'0403030'!A14</f>
        <v>040303002-1</v>
      </c>
      <c r="I3" s="151" t="s">
        <v>740</v>
      </c>
      <c r="J3" s="221"/>
      <c r="K3" s="222" t="s">
        <v>175</v>
      </c>
    </row>
    <row r="4">
      <c r="A4" s="11"/>
      <c r="B4" s="19"/>
      <c r="C4" s="11"/>
      <c r="D4" s="11"/>
    </row>
    <row r="5">
      <c r="A5" s="11"/>
      <c r="B5" s="19"/>
      <c r="C5" s="11"/>
      <c r="D5" s="11"/>
    </row>
    <row r="6">
      <c r="A6" s="11"/>
      <c r="B6" s="19"/>
      <c r="C6" s="11"/>
      <c r="D6" s="11"/>
    </row>
    <row r="7">
      <c r="A7" s="11"/>
      <c r="B7" s="17" t="s">
        <v>741</v>
      </c>
      <c r="C7" s="11"/>
      <c r="D7" s="11"/>
    </row>
    <row r="8">
      <c r="A8" s="11"/>
      <c r="B8" s="17" t="s">
        <v>742</v>
      </c>
      <c r="C8" s="11"/>
      <c r="D8" s="11"/>
    </row>
    <row r="9">
      <c r="A9" s="11"/>
      <c r="B9" s="19"/>
      <c r="C9" s="11"/>
      <c r="D9" s="11"/>
    </row>
    <row r="10">
      <c r="A10" s="133">
        <v>1.0</v>
      </c>
      <c r="B10" s="151" t="str">
        <f>'JULHO  2026'!B11</f>
        <v>CARMELITA MARIA  DE JESUS</v>
      </c>
      <c r="C10" s="150">
        <f>'JULHO  2026'!C11</f>
        <v>46205</v>
      </c>
      <c r="D10" s="32">
        <f>'JULHO  2026'!D11</f>
        <v>19999507</v>
      </c>
      <c r="E10" s="151" t="str">
        <f>'JULHO  2026'!E11</f>
        <v>0408030291</v>
      </c>
      <c r="F10" s="151" t="str">
        <f>'JULHO  2026'!F11</f>
        <v>artrodese toraco-lombo-sacra posterior 2 niveis</v>
      </c>
      <c r="G10" s="151">
        <f>'JULHO  2026'!G11</f>
        <v>1155.78</v>
      </c>
      <c r="H10" s="151" t="str">
        <f>'JULHO  2026'!H11</f>
        <v>EDUARDO VARJÃO VIEIRA </v>
      </c>
      <c r="I10" s="151" t="s">
        <v>744</v>
      </c>
    </row>
    <row r="11">
      <c r="A11" s="133">
        <v>2.0</v>
      </c>
      <c r="B11" s="151" t="str">
        <f>'JULHO  2026'!B17</f>
        <v>JAILSON DE JESUS NUNES</v>
      </c>
      <c r="C11" s="150">
        <f>'JULHO  2026'!C17</f>
        <v>46205</v>
      </c>
      <c r="D11" s="32">
        <f>'JULHO  2026'!D17</f>
        <v>20170007</v>
      </c>
      <c r="E11" s="151" t="str">
        <f>'JULHO  2026'!E17</f>
        <v>0408030917</v>
      </c>
      <c r="F11" s="151" t="str">
        <f>'JULHO  2026'!F17</f>
        <v>artrodese cervical /cervico toráxica posterior 4 niveis </v>
      </c>
      <c r="G11" s="151">
        <f>'JULHO  2026'!G17</f>
        <v>1155.78</v>
      </c>
      <c r="H11" s="151" t="str">
        <f>'JULHO  2026'!H17</f>
        <v>WAGNER DE AZEVEDO  HERCULANO</v>
      </c>
      <c r="I11" s="151" t="s">
        <v>744</v>
      </c>
    </row>
    <row r="12">
      <c r="A12" s="133">
        <v>3.0</v>
      </c>
      <c r="B12" s="151" t="str">
        <f>'JULHO  2026'!B23</f>
        <v>MOISANE DE OLIVERIA COSTA</v>
      </c>
      <c r="C12" s="150">
        <f>'JULHO  2026'!C23</f>
        <v>46205</v>
      </c>
      <c r="D12" s="32">
        <f>'JULHO  2026'!D23</f>
        <v>18270306</v>
      </c>
      <c r="E12" s="151" t="str">
        <f>'JULHO  2026'!E23</f>
        <v>0403010101</v>
      </c>
      <c r="F12" s="151" t="str">
        <f>'JULHO  2026'!F23</f>
        <v>derivação ventricular para peritoneo/atrio/pleura/raque</v>
      </c>
      <c r="G12" s="151">
        <f>'JULHO  2026'!G23</f>
        <v>682.08</v>
      </c>
      <c r="H12" s="151" t="str">
        <f>'JULHO  2026'!H23</f>
        <v>WAGNER DE AZEVEDO  HERCULANO</v>
      </c>
      <c r="I12" s="151" t="s">
        <v>744</v>
      </c>
    </row>
    <row r="13">
      <c r="A13" s="133">
        <v>4.0</v>
      </c>
      <c r="B13" s="151" t="str">
        <f>'JULHO  2026'!B29</f>
        <v>ALBERTO CASTRO DOS SANTOS</v>
      </c>
      <c r="C13" s="150">
        <f>'JULHO  2026'!C29</f>
        <v>46205</v>
      </c>
      <c r="D13" s="32">
        <f>'JULHO  2026'!D29</f>
        <v>16019804</v>
      </c>
      <c r="E13" s="151" t="str">
        <f>'JULHO  2026'!E29</f>
        <v>0403010314</v>
      </c>
      <c r="F13" s="151" t="str">
        <f>'JULHO  2026'!F29</f>
        <v>Tratamento cirurgico de hematoma subdural cronico</v>
      </c>
      <c r="G13" s="151">
        <f>'JULHO  2026'!G29</f>
        <v>682.08</v>
      </c>
      <c r="H13" s="151" t="str">
        <f>'JULHO  2026'!H29</f>
        <v>EDUARDO VARJÃO VIEIRA </v>
      </c>
      <c r="I13" s="151" t="s">
        <v>744</v>
      </c>
    </row>
    <row r="14">
      <c r="A14" s="133">
        <v>5.0</v>
      </c>
      <c r="B14" s="151" t="str">
        <f>'JULHO  2026'!B35</f>
        <v>JOSE HENRIQUE COSTA SOUZA</v>
      </c>
      <c r="C14" s="150">
        <f>'JULHO  2026'!C35</f>
        <v>46205</v>
      </c>
      <c r="D14" s="32">
        <f>'JULHO  2026'!D35</f>
        <v>20207494</v>
      </c>
      <c r="E14" s="151" t="str">
        <f>'JULHO  2026'!E35</f>
        <v>0403010241</v>
      </c>
      <c r="F14" s="151" t="str">
        <f>'JULHO  2026'!F35</f>
        <v>tratamento cirurgico de fistula liquorica craniana</v>
      </c>
      <c r="G14" s="151">
        <f>'JULHO  2026'!G35</f>
        <v>671.94</v>
      </c>
      <c r="H14" s="151" t="str">
        <f>'JULHO  2026'!H35</f>
        <v>EDUARDO VARJÃO VIEIRA </v>
      </c>
      <c r="I14" s="151" t="s">
        <v>745</v>
      </c>
    </row>
    <row r="15">
      <c r="A15" s="133">
        <v>6.0</v>
      </c>
      <c r="B15" s="151" t="str">
        <f>'JULHO  2026'!B41</f>
        <v>GIZELA SANTOS AMPAIO</v>
      </c>
      <c r="C15" s="150">
        <f>'JULHO  2026'!C41</f>
        <v>46205</v>
      </c>
      <c r="D15" s="32">
        <f>'JULHO  2026'!D41</f>
        <v>20207510</v>
      </c>
      <c r="E15" s="151" t="str">
        <f>'JULHO  2026'!E41</f>
        <v>0403010187</v>
      </c>
      <c r="F15" s="151" t="str">
        <f>'JULHO  2026'!F41</f>
        <v>revisão derivação ventricular para peritoneo/atrio/pleura/raque</v>
      </c>
      <c r="G15" s="151">
        <f>'JULHO  2026'!G41</f>
        <v>572</v>
      </c>
      <c r="H15" s="151" t="str">
        <f>'JULHO  2026'!H41</f>
        <v>JAQUISSON  DE DEUS GUIMARÃES FILHO</v>
      </c>
      <c r="I15" s="151" t="s">
        <v>744</v>
      </c>
    </row>
    <row r="16">
      <c r="A16" s="133">
        <v>7.0</v>
      </c>
      <c r="B16" s="151" t="str">
        <f>'JULHO  2026'!#REF!</f>
        <v>#ERROR!</v>
      </c>
      <c r="C16" s="150">
        <f>'JULHO  2026'!C47</f>
        <v>46206</v>
      </c>
      <c r="D16" s="32">
        <f>'JULHO  2026'!D47</f>
        <v>19937804</v>
      </c>
      <c r="E16" s="151" t="str">
        <f>'JULHO  2026'!E47</f>
        <v>0408030267</v>
      </c>
      <c r="F16" s="151" t="str">
        <f>'JULHO  2026'!F47</f>
        <v>artrodese toraco-lombo-sacra posterior  1 nivel</v>
      </c>
      <c r="G16" s="151">
        <f>'JULHO  2026'!G47</f>
        <v>470</v>
      </c>
      <c r="H16" s="151" t="str">
        <f>'JULHO  2026'!H47</f>
        <v>WAGNER DE AZEVEDO  HERCULANO</v>
      </c>
      <c r="I16" s="151" t="s">
        <v>744</v>
      </c>
    </row>
    <row r="17">
      <c r="A17" s="133">
        <v>8.0</v>
      </c>
      <c r="B17" s="151" t="str">
        <f>'JULHO  2026'!B53</f>
        <v>JUCINEIDE DOS SANTOS SILVA</v>
      </c>
      <c r="C17" s="150">
        <f>'JULHO  2026'!C53</f>
        <v>46205</v>
      </c>
      <c r="D17" s="32">
        <f>'JULHO  2026'!D53</f>
        <v>14123228</v>
      </c>
      <c r="E17" s="151" t="str">
        <f>'JULHO  2026'!E53</f>
        <v>0403030099</v>
      </c>
      <c r="F17" s="151" t="str">
        <f>'JULHO  2026'!F53</f>
        <v>microcirurgia de tumor medular    técnica complementar</v>
      </c>
      <c r="G17" s="151">
        <f>'JULHO  2026'!G53</f>
        <v>1540.56</v>
      </c>
      <c r="H17" s="151" t="str">
        <f>'JULHO  2026'!#REF!</f>
        <v>#ERROR!</v>
      </c>
      <c r="I17" s="151" t="s">
        <v>744</v>
      </c>
    </row>
    <row r="18">
      <c r="A18" s="133">
        <v>9.0</v>
      </c>
      <c r="B18" s="151" t="str">
        <f>'JULHO  2026'!B59</f>
        <v>JOSE BISPO </v>
      </c>
      <c r="C18" s="150">
        <f>'JULHO  2026'!C59</f>
        <v>46204</v>
      </c>
      <c r="D18" s="32">
        <f>'JULHO  2026'!D59</f>
        <v>20051595</v>
      </c>
      <c r="E18" s="151" t="str">
        <f>'JULHO  2026'!E59</f>
        <v>0408030100</v>
      </c>
      <c r="F18" s="151" t="str">
        <f>'JULHO  2026'!F59</f>
        <v>artrodese cervical anterior  4 niveis </v>
      </c>
      <c r="G18" s="151">
        <f>'JULHO  2026'!G59</f>
        <v>1155.78</v>
      </c>
      <c r="H18" s="151" t="str">
        <f>'JULHO  2026'!H59</f>
        <v>ARTUR BASTOS ROCHA</v>
      </c>
      <c r="I18" s="151" t="s">
        <v>745</v>
      </c>
    </row>
    <row r="19">
      <c r="A19" s="133">
        <v>10.0</v>
      </c>
      <c r="B19" s="151" t="str">
        <f>'JULHO  2026'!B65</f>
        <v>GERSON DOS SANTOS BASTOS </v>
      </c>
      <c r="C19" s="150">
        <f>'JULHO  2026'!C65</f>
        <v>46204</v>
      </c>
      <c r="D19" s="32">
        <f>'JULHO  2026'!D65</f>
        <v>20166112</v>
      </c>
      <c r="E19" s="151" t="str">
        <f>'JULHO  2026'!E65</f>
        <v>0403010195</v>
      </c>
      <c r="F19" s="151" t="str">
        <f>'JULHO  2026'!F65</f>
        <v>tratamento cirurgico de abcesso intracraniano</v>
      </c>
      <c r="G19" s="151">
        <f>'JULHO  2026'!G65</f>
        <v>559.95</v>
      </c>
      <c r="H19" s="151" t="str">
        <f>'JULHO  2026'!H65</f>
        <v>EDUARDO VARJÃO VIEIRA </v>
      </c>
      <c r="I19" s="151" t="s">
        <v>745</v>
      </c>
    </row>
    <row r="20">
      <c r="A20" s="230">
        <v>11.0</v>
      </c>
      <c r="B20" s="231" t="str">
        <f>'JULHO  2026'!B71</f>
        <v>DILMARCI BRANDÃO DE OLIVEIRA</v>
      </c>
      <c r="C20" s="205">
        <f>'JULHO  2026'!C71</f>
        <v>46572</v>
      </c>
      <c r="D20" s="196">
        <f>'JULHO  2026'!D71</f>
        <v>15673171</v>
      </c>
      <c r="E20" s="231" t="str">
        <f>'JULHO  2026'!E71</f>
        <v>0403020018</v>
      </c>
      <c r="F20" s="231" t="str">
        <f>'JULHO  2026'!F71</f>
        <v>enxerto microcirurgico  de nervo periferico ( 2 ou mais nervos)</v>
      </c>
      <c r="G20" s="231">
        <f>'JULHO  2026'!G71</f>
        <v>500.5</v>
      </c>
      <c r="H20" s="231" t="str">
        <f>'JULHO  2026'!H71</f>
        <v>PEDRO HENRIQUE V.  PONDÉ DE SENA</v>
      </c>
      <c r="I20" s="231" t="s">
        <v>744</v>
      </c>
    </row>
    <row r="21" ht="15.75" customHeight="1">
      <c r="A21" s="232">
        <v>12.0</v>
      </c>
      <c r="B21" s="233" t="str">
        <f>'JULHO  2026'!B77</f>
        <v>SILVIO PEREIRA GOMES </v>
      </c>
      <c r="C21" s="234">
        <f>'JULHO  2026'!C77</f>
        <v>46206</v>
      </c>
      <c r="D21" s="235">
        <f>'JULHO  2026'!D77</f>
        <v>10477966</v>
      </c>
      <c r="E21" s="236" t="str">
        <f>'JULHO  2026'!E77</f>
        <v>0303040041</v>
      </c>
      <c r="F21" s="236" t="str">
        <f>'JULHO  2026'!F77</f>
        <v>Tratamento Clinico de Abscesso Cerebral</v>
      </c>
      <c r="G21" s="236">
        <f>'JULHO  2026'!G77</f>
        <v>84.36</v>
      </c>
      <c r="H21" s="236" t="str">
        <f>'JULHO  2026'!H77</f>
        <v>WAGNER DE AZEVEDO  HERCULANO</v>
      </c>
      <c r="I21" s="237" t="s">
        <v>744</v>
      </c>
    </row>
    <row r="22" ht="15.75" customHeight="1">
      <c r="A22" s="238"/>
      <c r="B22" s="239" t="s">
        <v>749</v>
      </c>
      <c r="C22" s="240"/>
      <c r="D22" s="241"/>
      <c r="E22" s="242"/>
      <c r="F22" s="242"/>
      <c r="G22" s="242"/>
      <c r="H22" s="242"/>
      <c r="I22" s="243"/>
    </row>
    <row r="23" ht="15.75" customHeight="1">
      <c r="A23" s="244"/>
      <c r="B23" s="245" t="s">
        <v>751</v>
      </c>
      <c r="C23" s="246"/>
      <c r="D23" s="247"/>
      <c r="E23" s="248"/>
      <c r="F23" s="248"/>
      <c r="G23" s="248"/>
      <c r="H23" s="248"/>
      <c r="I23" s="249"/>
    </row>
    <row r="24" ht="15.75" customHeight="1">
      <c r="A24" s="250"/>
      <c r="B24" s="251"/>
      <c r="C24" s="252"/>
      <c r="D24" s="187"/>
      <c r="E24" s="251"/>
      <c r="F24" s="251"/>
      <c r="G24" s="251"/>
      <c r="H24" s="251"/>
      <c r="I24" s="251"/>
    </row>
    <row r="25" ht="15.75" customHeight="1">
      <c r="A25" s="133"/>
      <c r="B25" s="251"/>
      <c r="C25" s="150"/>
      <c r="D25" s="32"/>
      <c r="E25" s="151"/>
      <c r="F25" s="151"/>
      <c r="G25" s="151"/>
      <c r="H25" s="151"/>
      <c r="I25" s="151"/>
    </row>
    <row r="26" ht="15.75" customHeight="1">
      <c r="A26" s="133"/>
      <c r="B26" s="151"/>
      <c r="C26" s="150"/>
      <c r="D26" s="32"/>
      <c r="E26" s="151"/>
      <c r="F26" s="151"/>
      <c r="G26" s="151"/>
      <c r="H26" s="151"/>
      <c r="I26" s="151"/>
    </row>
    <row r="27" ht="15.75" customHeight="1">
      <c r="A27" s="133"/>
      <c r="B27" s="151"/>
      <c r="C27" s="150"/>
      <c r="D27" s="32"/>
      <c r="E27" s="151"/>
      <c r="F27" s="151"/>
      <c r="G27" s="151"/>
      <c r="H27" s="151"/>
      <c r="I27" s="151"/>
    </row>
    <row r="28" ht="15.75" customHeight="1">
      <c r="A28" s="11"/>
      <c r="B28" s="19"/>
      <c r="C28" s="11"/>
      <c r="D28" s="11"/>
    </row>
    <row r="29" ht="15.75" customHeight="1">
      <c r="A29" s="11"/>
      <c r="B29" s="17" t="s">
        <v>754</v>
      </c>
      <c r="C29" s="11"/>
      <c r="D29" s="11"/>
    </row>
    <row r="30" ht="15.75" customHeight="1">
      <c r="A30" s="11"/>
      <c r="B30" s="17" t="s">
        <v>755</v>
      </c>
      <c r="C30" s="11"/>
      <c r="D30" s="11"/>
    </row>
    <row r="31" ht="15.75" customHeight="1">
      <c r="A31" s="11"/>
      <c r="B31" s="19"/>
      <c r="C31" s="11"/>
      <c r="D31" s="11"/>
    </row>
    <row r="32" ht="15.75" customHeight="1">
      <c r="A32" s="32">
        <v>1.0</v>
      </c>
      <c r="B32" s="151" t="str">
        <f>'JULHO  2026'!B77</f>
        <v>SILVIO PEREIRA GOMES </v>
      </c>
      <c r="C32" s="150">
        <f>'JULHO  2026'!C77</f>
        <v>46206</v>
      </c>
      <c r="D32" s="32">
        <f>'JULHO  2026'!D77</f>
        <v>10477966</v>
      </c>
      <c r="E32" s="151" t="str">
        <f>'JULHO  2026'!E77</f>
        <v>0303040041</v>
      </c>
      <c r="F32" s="151" t="str">
        <f>'JULHO  2026'!F77</f>
        <v>Tratamento Clinico de Abscesso Cerebral</v>
      </c>
      <c r="G32" s="151">
        <f>'JULHO  2026'!G77</f>
        <v>84.36</v>
      </c>
      <c r="H32" s="151" t="str">
        <f>'JULHO  2026'!H77</f>
        <v>WAGNER DE AZEVEDO  HERCULANO</v>
      </c>
      <c r="I32" s="231" t="s">
        <v>744</v>
      </c>
    </row>
    <row r="33" ht="15.75" customHeight="1">
      <c r="A33" s="32">
        <v>2.0</v>
      </c>
      <c r="B33" s="151" t="str">
        <f>'JULHO  2026'!B83</f>
        <v>JOSEILDA LIRA DA SILVA</v>
      </c>
      <c r="C33" s="150">
        <f>'JULHO  2026'!C83</f>
        <v>46208</v>
      </c>
      <c r="D33" s="32">
        <f>'JULHO  2026'!D83</f>
        <v>10274421</v>
      </c>
      <c r="E33" s="151" t="str">
        <f>'JULHO  2026'!E83</f>
        <v>0403030129</v>
      </c>
      <c r="F33" s="151" t="str">
        <f>'JULHO  2026'!F83</f>
        <v>microcirurgia de tumor de base do cranio</v>
      </c>
      <c r="G33" s="151">
        <f>'JULHO  2026'!G83</f>
        <v>1865.92</v>
      </c>
      <c r="H33" s="151" t="str">
        <f>'JULHO  2026'!H83</f>
        <v>WAGNER DE AZEVEDO  HERCULANO</v>
      </c>
      <c r="I33" s="231" t="s">
        <v>744</v>
      </c>
    </row>
    <row r="34" ht="15.75" customHeight="1">
      <c r="A34" s="133">
        <v>3.0</v>
      </c>
      <c r="B34" s="151" t="str">
        <f>'JULHO  2026'!B89</f>
        <v>IG JOSE KLEBIO DE ALMEIDA SOUZA</v>
      </c>
      <c r="C34" s="150">
        <f>'JULHO  2026'!C89</f>
        <v>46209</v>
      </c>
      <c r="D34" s="32">
        <f>'JULHO  2026'!D89</f>
        <v>20319273</v>
      </c>
      <c r="E34" s="151" t="str">
        <f>'JULHO  2026'!E89</f>
        <v>0403010241</v>
      </c>
      <c r="F34" s="151" t="str">
        <f>'JULHO  2026'!F89</f>
        <v>tratamento cirurgico de fistula liquorica craniana</v>
      </c>
      <c r="G34" s="151">
        <f>'JULHO  2026'!G89</f>
        <v>671.94</v>
      </c>
      <c r="H34" s="151" t="str">
        <f>'JULHO  2026'!H89</f>
        <v>CAMILA MOURA DE SOUSA</v>
      </c>
      <c r="I34" s="231" t="s">
        <v>744</v>
      </c>
    </row>
    <row r="35" ht="15.75" customHeight="1">
      <c r="A35" s="32">
        <v>4.0</v>
      </c>
      <c r="B35" s="151" t="str">
        <f>'JULHO  2026'!B95</f>
        <v>MARICLEIDE LINARD DE LIMA DE PAULA</v>
      </c>
      <c r="C35" s="150">
        <f>'JULHO  2026'!C95</f>
        <v>46211</v>
      </c>
      <c r="D35" s="32">
        <f>'JULHO  2026'!D95</f>
        <v>20275442</v>
      </c>
      <c r="E35" s="151" t="str">
        <f>'JULHO  2026'!E95</f>
        <v>0403040116</v>
      </c>
      <c r="F35" s="151" t="str">
        <f>'JULHO  2026'!F95</f>
        <v>microcirurgia  para aneurisma da circulaço cerebral anterior menor  que 1,5 cm</v>
      </c>
      <c r="G35" s="151">
        <f>'JULHO  2026'!G95</f>
        <v>1568</v>
      </c>
      <c r="H35" s="151" t="str">
        <f>'JULHO  2026'!H95</f>
        <v>JAQUISSON  DE DEUS GUIMARÃES FILHO</v>
      </c>
      <c r="I35" s="231" t="s">
        <v>744</v>
      </c>
    </row>
    <row r="36" ht="15.75" customHeight="1">
      <c r="A36" s="32">
        <v>5.0</v>
      </c>
      <c r="B36" s="151" t="str">
        <f>'JULHO  2026'!B101</f>
        <v>VALDIREI DIAS DA ROCHA</v>
      </c>
      <c r="C36" s="150">
        <f>'JULHO  2026'!C101</f>
        <v>46212</v>
      </c>
      <c r="D36" s="32">
        <f>'JULHO  2026'!D101</f>
        <v>4234761</v>
      </c>
      <c r="E36" s="151" t="str">
        <f>'JULHO  2026'!E101</f>
        <v>0408030267</v>
      </c>
      <c r="F36" s="151" t="str">
        <f>'JULHO  2026'!F101</f>
        <v>artrodese toraco-lombo-sacra posterior  1 nivel</v>
      </c>
      <c r="G36" s="151">
        <f>'JULHO  2026'!G101</f>
        <v>470</v>
      </c>
      <c r="H36" s="151" t="str">
        <f>'JULHO  2026'!H101</f>
        <v>WAGNER DE AZEVEDO  HERCULANO</v>
      </c>
      <c r="I36" s="231" t="s">
        <v>744</v>
      </c>
    </row>
    <row r="37" ht="15.75" customHeight="1">
      <c r="A37" s="133">
        <v>6.0</v>
      </c>
      <c r="B37" s="151" t="str">
        <f>'JULHO  2026'!B107</f>
        <v>ANDRADE DE NOVAIS SANTOS</v>
      </c>
      <c r="C37" s="150">
        <f>'JULHO  2026'!C107</f>
        <v>46207</v>
      </c>
      <c r="D37" s="32">
        <f>'JULHO  2026'!D107</f>
        <v>29297966</v>
      </c>
      <c r="E37" s="151" t="str">
        <f>'JULHO  2026'!E107</f>
        <v>0408030054</v>
      </c>
      <c r="F37" s="151" t="str">
        <f>'JULHO  2026'!F107</f>
        <v>artrodese cervical /cervico toráxica posterior 3 niveis </v>
      </c>
      <c r="G37" s="151">
        <f>'JULHO  2026'!G107</f>
        <v>1155.78</v>
      </c>
      <c r="H37" s="151" t="str">
        <f>'JULHO  2026'!H107</f>
        <v>ARTUR BASTOS ROCHA</v>
      </c>
      <c r="I37" s="231" t="s">
        <v>744</v>
      </c>
    </row>
    <row r="38" ht="15.75" customHeight="1">
      <c r="A38" s="32">
        <v>7.0</v>
      </c>
      <c r="B38" s="151" t="str">
        <f>'JULHO  2026'!B113</f>
        <v>ANTONIO  SIMOES DA CONCEIÇÃO</v>
      </c>
      <c r="C38" s="150">
        <f>'JULHO  2026'!C113</f>
        <v>46211</v>
      </c>
      <c r="D38" s="32">
        <f>'JULHO  2026'!D113</f>
        <v>20329637</v>
      </c>
      <c r="E38" s="151" t="str">
        <f>'JULHO  2026'!E113</f>
        <v>0403010314</v>
      </c>
      <c r="F38" s="151" t="str">
        <f>'JULHO  2026'!F113</f>
        <v>Tratamento cirurgico de hematoma subdural cronico</v>
      </c>
      <c r="G38" s="151">
        <f>'JULHO  2026'!G113</f>
        <v>682.08</v>
      </c>
      <c r="H38" s="151" t="str">
        <f>'JULHO  2026'!H113</f>
        <v>ARTUR BASTOS ROCHA</v>
      </c>
      <c r="I38" s="231" t="s">
        <v>744</v>
      </c>
    </row>
    <row r="39" ht="15.75" customHeight="1">
      <c r="A39" s="32">
        <v>8.0</v>
      </c>
      <c r="B39" s="151" t="str">
        <f>'JULHO  2026'!B119</f>
        <v>RAIMUNDO DOS SANTOS MORAES</v>
      </c>
      <c r="C39" s="150">
        <f>'JULHO  2026'!C119</f>
        <v>46209</v>
      </c>
      <c r="D39" s="32">
        <f>'JULHO  2026'!D119</f>
        <v>20313573</v>
      </c>
      <c r="E39" s="151" t="str">
        <f>'JULHO  2026'!E119</f>
        <v>0403010012</v>
      </c>
      <c r="F39" s="151" t="str">
        <f>'JULHO  2026'!F119</f>
        <v>Cranioplastia </v>
      </c>
      <c r="G39" s="151">
        <f>'JULHO  2026'!G119</f>
        <v>522.48</v>
      </c>
      <c r="H39" s="151" t="str">
        <f>'JULHO  2026'!H119</f>
        <v>CAMILA MOURA DE SOUSA</v>
      </c>
      <c r="I39" s="151" t="s">
        <v>745</v>
      </c>
    </row>
    <row r="40" ht="15.75" customHeight="1">
      <c r="A40" s="133">
        <v>9.0</v>
      </c>
      <c r="B40" s="151" t="str">
        <f>'JULHO  2026'!B125</f>
        <v>WELLINGTON ALVES DA SILVA</v>
      </c>
      <c r="C40" s="150">
        <f>'JULHO  2026'!C125</f>
        <v>46210</v>
      </c>
      <c r="D40" s="32">
        <f>'JULHO  2026'!D125</f>
        <v>20338463</v>
      </c>
      <c r="E40" s="151" t="str">
        <f>'JULHO  2026'!E125</f>
        <v>0403010110</v>
      </c>
      <c r="F40" s="151" t="str">
        <f>'JULHO  2026'!F125</f>
        <v>descompressão de orbita por doença  ou trauma</v>
      </c>
      <c r="G40" s="151">
        <f>'JULHO  2026'!G125</f>
        <v>786.5</v>
      </c>
      <c r="H40" s="151" t="str">
        <f>'JULHO  2026'!H125</f>
        <v>PEDRO HENRIQUE V.  PONDÉ DE SENA</v>
      </c>
      <c r="I40" s="231" t="s">
        <v>744</v>
      </c>
    </row>
    <row r="41" ht="15.75" customHeight="1">
      <c r="A41" s="32">
        <v>10.0</v>
      </c>
      <c r="B41" s="151" t="str">
        <f>'JULHO  2026'!B131</f>
        <v>CICERO PEDRO DA SILVA </v>
      </c>
      <c r="C41" s="150">
        <f>'JULHO  2026'!C131</f>
        <v>46207</v>
      </c>
      <c r="D41" s="32">
        <f>'JULHO  2026'!D131</f>
        <v>18069914</v>
      </c>
      <c r="E41" s="151" t="str">
        <f>'JULHO  2026'!E131</f>
        <v>0408030291</v>
      </c>
      <c r="F41" s="151" t="str">
        <f>'JULHO  2026'!F131</f>
        <v>artrodese toraco-lombo-sacra posterior 2 niveis</v>
      </c>
      <c r="G41" s="151">
        <f>'JULHO  2026'!G131</f>
        <v>1155.78</v>
      </c>
      <c r="H41" s="151" t="str">
        <f>'JULHO  2026'!H131</f>
        <v>WAGNER DE AZEVEDO  HERCULANO</v>
      </c>
      <c r="I41" s="231" t="s">
        <v>744</v>
      </c>
    </row>
    <row r="42" ht="15.75" customHeight="1">
      <c r="A42" s="32">
        <v>11.0</v>
      </c>
      <c r="B42" s="151" t="str">
        <f>'JULHO  2026'!B137</f>
        <v>EMILY MARLENE MACHADO</v>
      </c>
      <c r="C42" s="150">
        <f>'JULHO  2026'!C137</f>
        <v>46215</v>
      </c>
      <c r="D42" s="32">
        <f>'JULHO  2026'!D137</f>
        <v>20428447</v>
      </c>
      <c r="E42" s="151" t="str">
        <f>'JULHO  2026'!E137</f>
        <v>0408030275</v>
      </c>
      <c r="F42" s="151" t="str">
        <f>'JULHO  2026'!F137</f>
        <v>artrodese toraco-lombo-sacra posterior 3 niveis</v>
      </c>
      <c r="G42" s="151">
        <f>'JULHO  2026'!G137</f>
        <v>1155.78</v>
      </c>
      <c r="H42" s="151" t="str">
        <f>'JULHO  2026'!H137</f>
        <v>ARTUR BASTOS ROCHA</v>
      </c>
      <c r="I42" s="151" t="s">
        <v>745</v>
      </c>
    </row>
    <row r="43" ht="15.75" customHeight="1">
      <c r="A43" s="133"/>
      <c r="B43" s="151"/>
      <c r="C43" s="150"/>
      <c r="D43" s="32"/>
      <c r="E43" s="151"/>
      <c r="F43" s="151"/>
      <c r="G43" s="151"/>
      <c r="H43" s="151"/>
      <c r="I43" s="151"/>
    </row>
    <row r="44" ht="15.75" customHeight="1">
      <c r="A44" s="11"/>
      <c r="B44" s="19"/>
      <c r="C44" s="11"/>
      <c r="D44" s="11"/>
    </row>
    <row r="45" ht="15.75" customHeight="1">
      <c r="A45" s="11"/>
      <c r="B45" s="17" t="s">
        <v>757</v>
      </c>
      <c r="C45" s="11"/>
      <c r="D45" s="11"/>
    </row>
    <row r="46" ht="15.75" customHeight="1">
      <c r="A46" s="11"/>
      <c r="B46" s="17" t="s">
        <v>758</v>
      </c>
      <c r="C46" s="11"/>
      <c r="D46" s="11"/>
    </row>
    <row r="47" ht="15.75" customHeight="1">
      <c r="A47" s="11"/>
      <c r="B47" s="19"/>
      <c r="C47" s="11"/>
      <c r="D47" s="11"/>
    </row>
    <row r="48" ht="15.75" customHeight="1">
      <c r="A48" s="32">
        <v>1.0</v>
      </c>
      <c r="B48" s="151" t="str">
        <f>'JULHO  2026'!B143</f>
        <v>IG ANGELO EMANUEL  SAMPAIO</v>
      </c>
      <c r="C48" s="150">
        <f>'JULHO  2026'!C143</f>
        <v>46214</v>
      </c>
      <c r="D48" s="32">
        <f>'JULHO  2026'!D143</f>
        <v>20405965</v>
      </c>
      <c r="E48" s="151" t="str">
        <f>'JULHO  2026'!E143</f>
        <v>0403040078</v>
      </c>
      <c r="F48" s="151" t="str">
        <f>'JULHO  2026'!F143</f>
        <v>microcirurgia vascular  intracraniana (com tecnica complementar)</v>
      </c>
      <c r="G48" s="151">
        <f>'JULHO  2026'!G143</f>
        <v>1865.92</v>
      </c>
      <c r="H48" s="151" t="str">
        <f>'JULHO  2026'!H143</f>
        <v>IOGO HENRIQUE DE O. ARAUJO</v>
      </c>
      <c r="I48" s="151" t="s">
        <v>745</v>
      </c>
    </row>
    <row r="49" ht="15.75" customHeight="1">
      <c r="A49" s="32">
        <v>2.0</v>
      </c>
      <c r="B49" s="151" t="str">
        <f>'JULHO  2026'!B149</f>
        <v>MARIA EUZEBIA DA COSTA </v>
      </c>
      <c r="C49" s="150">
        <f>'JULHO  2026'!C149</f>
        <v>46214</v>
      </c>
      <c r="D49" s="32">
        <f>'JULHO  2026'!D149</f>
        <v>19892868</v>
      </c>
      <c r="E49" s="151" t="str">
        <f>'JULHO  2026'!E149</f>
        <v>0403030129</v>
      </c>
      <c r="F49" s="151" t="str">
        <f>'JULHO  2026'!F149</f>
        <v>microcirurgia de tumor de base do cranio</v>
      </c>
      <c r="G49" s="151">
        <f>'JULHO  2026'!G149</f>
        <v>1865.92</v>
      </c>
      <c r="H49" s="151" t="str">
        <f>'JULHO  2026'!H149</f>
        <v>IOGO HENRIQUE DE O. ARAUJO</v>
      </c>
      <c r="I49" s="151" t="s">
        <v>745</v>
      </c>
    </row>
    <row r="50" ht="15.75" customHeight="1">
      <c r="A50" s="32">
        <v>3.0</v>
      </c>
      <c r="B50" s="151" t="str">
        <f>'JULHO  2026'!B155</f>
        <v>JOSE FERREIRA DA SILVA</v>
      </c>
      <c r="C50" s="150">
        <f>'JULHO  2026'!C155</f>
        <v>46207</v>
      </c>
      <c r="D50" s="32">
        <f>'JULHO  2026'!D155</f>
        <v>20261186</v>
      </c>
      <c r="E50" s="151" t="str">
        <f>'JULHO  2026'!E155</f>
        <v>0403010241</v>
      </c>
      <c r="F50" s="151" t="str">
        <f>'JULHO  2026'!F155</f>
        <v>tratamento cirurgico de fistula liquorica craniana</v>
      </c>
      <c r="G50" s="151">
        <f>'JULHO  2026'!G155</f>
        <v>671.94</v>
      </c>
      <c r="H50" s="151" t="str">
        <f>'JULHO  2026'!H155</f>
        <v>PEDRO HENRIQUE V.  PONDÉ DE SENA</v>
      </c>
      <c r="I50" s="151" t="s">
        <v>745</v>
      </c>
    </row>
    <row r="51" ht="15.75" customHeight="1">
      <c r="A51" s="32">
        <v>4.0</v>
      </c>
      <c r="B51" s="151" t="str">
        <f>'JULHO  2026'!B161</f>
        <v>MARIA FRANCO SANTA BARBARA</v>
      </c>
      <c r="C51" s="150">
        <f>'JULHO  2026'!C161</f>
        <v>46213</v>
      </c>
      <c r="D51" s="32">
        <f>'JULHO  2026'!D161</f>
        <v>20385191</v>
      </c>
      <c r="E51" s="151" t="str">
        <f>'JULHO  2026'!E161</f>
        <v>0403010314</v>
      </c>
      <c r="F51" s="151" t="str">
        <f>'JULHO  2026'!F161</f>
        <v>Tratamento cirurgico de hematoma subdural cronico</v>
      </c>
      <c r="G51" s="151">
        <f>'JULHO  2026'!G161</f>
        <v>682.08</v>
      </c>
      <c r="H51" s="151" t="str">
        <f>'JULHO  2026'!H161</f>
        <v>ARTUR BASTOS ROCHA</v>
      </c>
      <c r="I51" s="151" t="s">
        <v>745</v>
      </c>
    </row>
    <row r="52" ht="15.75" customHeight="1">
      <c r="A52" s="32">
        <v>5.0</v>
      </c>
      <c r="B52" s="151" t="str">
        <f>'JULHO  2026'!B167</f>
        <v>LEONICE ESTEVA DE CERQUEIRA DE JESUS</v>
      </c>
      <c r="C52" s="150">
        <f>'JULHO  2026'!C167</f>
        <v>46214</v>
      </c>
      <c r="D52" s="32">
        <f>'JULHO  2026'!D167</f>
        <v>20405734</v>
      </c>
      <c r="E52" s="151" t="str">
        <f>'JULHO  2026'!E167</f>
        <v>0403010314</v>
      </c>
      <c r="F52" s="151" t="str">
        <f>'JULHO  2026'!F167</f>
        <v>Tratamento cirurgico de hematoma subdural cronico</v>
      </c>
      <c r="G52" s="151">
        <f>'JULHO  2026'!G167</f>
        <v>682.08</v>
      </c>
      <c r="H52" s="151" t="str">
        <f>'JULHO  2026'!H167</f>
        <v>ARTUR BASTOS ROCHA</v>
      </c>
      <c r="I52" s="151" t="s">
        <v>745</v>
      </c>
    </row>
    <row r="53" ht="15.75" customHeight="1">
      <c r="A53" s="32">
        <v>6.0</v>
      </c>
      <c r="B53" s="151" t="str">
        <f>'JULHO  2026'!B173</f>
        <v>EMMANUEL BRITO DE OLIVEIRA</v>
      </c>
      <c r="C53" s="150">
        <f>'JULHO  2026'!C173</f>
        <v>46216</v>
      </c>
      <c r="D53" s="32">
        <f>'JULHO  2026'!D173</f>
        <v>20316758</v>
      </c>
      <c r="E53" s="151" t="str">
        <f>'JULHO  2026'!E173</f>
        <v>0408030623</v>
      </c>
      <c r="F53" s="151" t="str">
        <f>'JULHO  2026'!F173</f>
        <v>revisão de artrodese / tratamento cirurgico  de pseudoartrose da coluna  cervical posterior</v>
      </c>
      <c r="G53" s="151">
        <f>'JULHO  2026'!G173</f>
        <v>770.99</v>
      </c>
      <c r="H53" s="151" t="str">
        <f>'JULHO  2026'!H173</f>
        <v>WAGNER DE AZEVEDO  HERCULANO</v>
      </c>
      <c r="I53" s="151" t="s">
        <v>745</v>
      </c>
    </row>
    <row r="54" ht="15.75" customHeight="1">
      <c r="A54" s="32">
        <v>7.0</v>
      </c>
      <c r="B54" s="151" t="str">
        <f>'JULHO  2026'!B179</f>
        <v>VENCELENCIO PEREIRA MASCARENHAS</v>
      </c>
      <c r="C54" s="150">
        <f>'JULHO  2026'!C179</f>
        <v>46216</v>
      </c>
      <c r="D54" s="32">
        <f>'JULHO  2026'!D179</f>
        <v>20441002</v>
      </c>
      <c r="E54" s="151" t="str">
        <f>'JULHO  2026'!E179</f>
        <v>0403010241</v>
      </c>
      <c r="F54" s="151" t="str">
        <f>'JULHO  2026'!F179</f>
        <v>tratamento cirurgico de fistula liquorica craniana</v>
      </c>
      <c r="G54" s="151">
        <f>'JULHO  2026'!G179</f>
        <v>671.94</v>
      </c>
      <c r="H54" s="151" t="str">
        <f>'JULHO  2026'!H179</f>
        <v>CAMILA MOURA DE SOUSA</v>
      </c>
      <c r="I54" s="231" t="s">
        <v>744</v>
      </c>
    </row>
    <row r="55" ht="15.75" customHeight="1">
      <c r="A55" s="32">
        <v>8.0</v>
      </c>
      <c r="B55" s="151" t="str">
        <f>'JULHO  2026'!B185</f>
        <v>ANISIO DANTAS COELHO</v>
      </c>
      <c r="C55" s="150">
        <f>'JULHO  2026'!C185</f>
        <v>46211</v>
      </c>
      <c r="D55" s="32">
        <f>'JULHO  2026'!D185</f>
        <v>20118261</v>
      </c>
      <c r="E55" s="151" t="str">
        <f>'JULHO  2026'!E185</f>
        <v>0403010047</v>
      </c>
      <c r="F55" s="151" t="str">
        <f>'JULHO  2026'!F185</f>
        <v>Craniotomia para retirada de cisto/ abcesso/granuloma encefalico</v>
      </c>
      <c r="G55" s="151">
        <f>'JULHO  2026'!G185</f>
        <v>671.94</v>
      </c>
      <c r="H55" s="151" t="str">
        <f>'JULHO  2026'!H185</f>
        <v>CAMILA MOURA DE SOUSA</v>
      </c>
      <c r="I55" s="231" t="s">
        <v>744</v>
      </c>
    </row>
    <row r="56" ht="15.75" customHeight="1">
      <c r="A56" s="32">
        <v>9.0</v>
      </c>
      <c r="B56" s="151" t="str">
        <f>'JULHO  2026'!B191</f>
        <v>ELINEUZA CERQUEIRA DA SILVA</v>
      </c>
      <c r="C56" s="150">
        <f>'JULHO  2026'!C191</f>
        <v>46212</v>
      </c>
      <c r="D56" s="32">
        <f>'JULHO  2026'!D191</f>
        <v>20398822</v>
      </c>
      <c r="E56" s="151" t="str">
        <f>'JULHO  2026'!E191</f>
        <v>0403010101</v>
      </c>
      <c r="F56" s="151" t="str">
        <f>'JULHO  2026'!F191</f>
        <v>derivação ventricular para peritoneo/atrio/pleura/raque</v>
      </c>
      <c r="G56" s="151">
        <f>'JULHO  2026'!G191</f>
        <v>682.08</v>
      </c>
      <c r="H56" s="151" t="str">
        <f>'JULHO  2026'!H191</f>
        <v>WAGNER DE AZEVEDO  HERCULANO</v>
      </c>
      <c r="I56" s="151" t="s">
        <v>745</v>
      </c>
    </row>
    <row r="57" ht="15.75" customHeight="1">
      <c r="A57" s="32">
        <v>10.0</v>
      </c>
      <c r="B57" s="151" t="str">
        <f>'JULHO  2026'!B197</f>
        <v>ZACARIAS ANDRADE DA SILVA</v>
      </c>
      <c r="C57" s="150">
        <f>'JULHO  2026'!C197</f>
        <v>46214</v>
      </c>
      <c r="D57" s="32">
        <f>'JULHO  2026'!D197</f>
        <v>20426466</v>
      </c>
      <c r="E57" s="151" t="str">
        <f>'JULHO  2026'!E197</f>
        <v>0403010314</v>
      </c>
      <c r="F57" s="151" t="str">
        <f>'JULHO  2026'!F197</f>
        <v>Tratamento cirurgico de hematoma subdural cronico</v>
      </c>
      <c r="G57" s="151">
        <f>'JULHO  2026'!G197</f>
        <v>682.08</v>
      </c>
      <c r="H57" s="151" t="str">
        <f>'JULHO  2026'!H197</f>
        <v>CAMILA MOURA DE SOUSA</v>
      </c>
      <c r="I57" s="231" t="s">
        <v>744</v>
      </c>
    </row>
    <row r="58" ht="15.75" customHeight="1">
      <c r="A58" s="32">
        <v>11.0</v>
      </c>
      <c r="B58" s="151" t="str">
        <f>'JULHO  2026'!B203</f>
        <v>ANTONIO PINTO DE ALMEIDA</v>
      </c>
      <c r="C58" s="150">
        <f>'JULHO  2026'!C203</f>
        <v>46215</v>
      </c>
      <c r="D58" s="32">
        <f>'JULHO  2026'!D203</f>
        <v>20416632</v>
      </c>
      <c r="E58" s="151" t="str">
        <f>'JULHO  2026'!E203</f>
        <v>0403010306</v>
      </c>
      <c r="F58" s="151" t="str">
        <f>'JULHO  2026'!F203</f>
        <v>Tratamento cirurgico de hematoma subdural agudo</v>
      </c>
      <c r="G58" s="151">
        <f>'JULHO  2026'!G203</f>
        <v>682.08</v>
      </c>
      <c r="H58" s="151" t="str">
        <f>'JULHO  2026'!H203</f>
        <v>ARTUR BASTOS ROCHA</v>
      </c>
      <c r="I58" s="231" t="s">
        <v>744</v>
      </c>
    </row>
    <row r="59" ht="15.75" customHeight="1">
      <c r="A59" s="32">
        <v>12.0</v>
      </c>
      <c r="B59" s="151" t="str">
        <f>'JULHO  2026'!B209</f>
        <v>EDINEY DE ARAUJO SOUZA</v>
      </c>
      <c r="C59" s="150">
        <f>'JULHO  2026'!C209</f>
        <v>46220</v>
      </c>
      <c r="D59" s="32">
        <f>'JULHO  2026'!D209</f>
        <v>20530143</v>
      </c>
      <c r="E59" s="151" t="str">
        <f>'JULHO  2026'!E209</f>
        <v>0408030275</v>
      </c>
      <c r="F59" s="151" t="str">
        <f>'JULHO  2026'!F209</f>
        <v>artrodese toraco-lombo-sacra posterior 3 niveis</v>
      </c>
      <c r="G59" s="151">
        <f>'JULHO  2026'!G209</f>
        <v>1155.78</v>
      </c>
      <c r="H59" s="151" t="str">
        <f>'JULHO  2026'!H209</f>
        <v>WAGNER DE AZEVEDO  HERCULANO</v>
      </c>
      <c r="I59" s="231" t="s">
        <v>744</v>
      </c>
    </row>
    <row r="60" ht="15.75" customHeight="1">
      <c r="A60" s="32">
        <v>13.0</v>
      </c>
      <c r="B60" s="151" t="str">
        <f>'JULHO  2026'!B215</f>
        <v>LUIZ FELIPE DOS SANTOS BRITTO</v>
      </c>
      <c r="C60" s="150">
        <f>'JULHO  2026'!C215</f>
        <v>46218</v>
      </c>
      <c r="D60" s="32">
        <f>'JULHO  2026'!D215</f>
        <v>20186698</v>
      </c>
      <c r="E60" s="151" t="str">
        <f>'JULHO  2026'!E215</f>
        <v>0403020018</v>
      </c>
      <c r="F60" s="151" t="str">
        <f>'JULHO  2026'!F215</f>
        <v>enxerto microcirurgico  de nervo periferico ( 2 ou mais nervos)</v>
      </c>
      <c r="G60" s="151">
        <f>'JULHO  2026'!G215</f>
        <v>500.5</v>
      </c>
      <c r="H60" s="151" t="str">
        <f>'JULHO  2026'!H215</f>
        <v>PEDRO HENRIQUE V.  PONDÉ DE SENA</v>
      </c>
      <c r="I60" s="231" t="s">
        <v>744</v>
      </c>
    </row>
    <row r="61" ht="15.75" customHeight="1">
      <c r="A61" s="32">
        <v>14.0</v>
      </c>
      <c r="B61" s="151" t="str">
        <f>'JULHO  2026'!B221</f>
        <v>ODAIR JOSE CERQUEIRA OLIVEIRA</v>
      </c>
      <c r="C61" s="150">
        <f>'JULHO  2026'!C221</f>
        <v>46223</v>
      </c>
      <c r="D61" s="32">
        <f>'JULHO  2026'!D221</f>
        <v>20424636</v>
      </c>
      <c r="E61" s="151" t="str">
        <f>'JULHO  2026'!E221</f>
        <v>0415040035</v>
      </c>
      <c r="F61" s="151" t="str">
        <f>'JULHO  2026'!F221</f>
        <v>Debridamento de ulcera/ de tecidos desvitalizados</v>
      </c>
      <c r="G61" s="151" t="str">
        <f>'JULHO  2026'!G221</f>
        <v/>
      </c>
      <c r="H61" s="151" t="str">
        <f>'JULHO  2026'!H221</f>
        <v>EDUARDO VARJÃO VIEIRA </v>
      </c>
      <c r="I61" s="151" t="s">
        <v>745</v>
      </c>
    </row>
    <row r="62" ht="15.75" customHeight="1">
      <c r="A62" s="32">
        <v>15.0</v>
      </c>
      <c r="B62" s="151" t="str">
        <f>'JULHO  2026'!B227</f>
        <v>PAULO CEZAR DE QUEIROZ </v>
      </c>
      <c r="C62" s="150">
        <f>'JULHO  2026'!C227</f>
        <v>46215</v>
      </c>
      <c r="D62" s="32">
        <f>'JULHO  2026'!D227</f>
        <v>20324711</v>
      </c>
      <c r="E62" s="151" t="str">
        <f>'JULHO  2026'!E227</f>
        <v>0408030275</v>
      </c>
      <c r="F62" s="151" t="str">
        <f>'JULHO  2026'!F227</f>
        <v>artrodese toraco-lombo-sacra posterior 3 niveis</v>
      </c>
      <c r="G62" s="151">
        <f>'JULHO  2026'!G227</f>
        <v>1155.78</v>
      </c>
      <c r="H62" s="151" t="str">
        <f>'JULHO  2026'!H227</f>
        <v>ARTUR BASTOS ROCHA</v>
      </c>
      <c r="I62" s="151" t="s">
        <v>745</v>
      </c>
    </row>
    <row r="63" ht="15.75" customHeight="1">
      <c r="A63" s="32">
        <v>16.0</v>
      </c>
      <c r="B63" s="151" t="str">
        <f>'JULHO  2026'!B233</f>
        <v>ANGELINA  CARVALHO DE OLIVEIRA</v>
      </c>
      <c r="C63" s="150">
        <f>'JULHO  2026'!C233</f>
        <v>46228</v>
      </c>
      <c r="D63" s="32">
        <f>'JULHO  2026'!D233</f>
        <v>20665766</v>
      </c>
      <c r="E63" s="151" t="str">
        <f>'JULHO  2026'!E233</f>
        <v>0403030153</v>
      </c>
      <c r="F63" s="151" t="str">
        <f>'JULHO  2026'!F233</f>
        <v>Microcirurgia para tumor intracraniano (com tecnica complementar)</v>
      </c>
      <c r="G63" s="151">
        <f>'JULHO  2026'!G233</f>
        <v>2054.08</v>
      </c>
      <c r="H63" s="151" t="str">
        <f>'JULHO  2026'!H233</f>
        <v>WAGNER DE AZEVEDO  HERCULANO</v>
      </c>
      <c r="I63" s="231" t="s">
        <v>744</v>
      </c>
    </row>
    <row r="64" ht="15.75" customHeight="1">
      <c r="A64" s="32">
        <v>17.0</v>
      </c>
      <c r="B64" s="151" t="str">
        <f>'JULHO  2026'!B239</f>
        <v>ANTONIO AUGUSTINHO CARNEIRO</v>
      </c>
      <c r="C64" s="150">
        <f>'JULHO  2026'!C239</f>
        <v>46230</v>
      </c>
      <c r="D64" s="32">
        <f>'JULHO  2026'!D239</f>
        <v>20765954</v>
      </c>
      <c r="E64" s="151" t="str">
        <f>'JULHO  2026'!E239</f>
        <v>0403010241</v>
      </c>
      <c r="F64" s="151" t="str">
        <f>'JULHO  2026'!F239</f>
        <v>tratamento cirurgico de fistula liquorica craniana</v>
      </c>
      <c r="G64" s="151">
        <f>'JULHO  2026'!G239</f>
        <v>671.94</v>
      </c>
      <c r="H64" s="151" t="str">
        <f>'JULHO  2026'!H239</f>
        <v>CAMILA MOURA DE SOUSA</v>
      </c>
      <c r="I64" s="231" t="s">
        <v>744</v>
      </c>
    </row>
    <row r="65" ht="15.75" customHeight="1">
      <c r="A65" s="32">
        <v>18.0</v>
      </c>
      <c r="B65" s="151" t="str">
        <f>'JULHO  2026'!B245</f>
        <v>DENILZO  ALMEIDA PEREIRA</v>
      </c>
      <c r="C65" s="150">
        <f>'JULHO  2026'!C245</f>
        <v>46228</v>
      </c>
      <c r="D65" s="32">
        <f>'JULHO  2026'!D245</f>
        <v>20723219</v>
      </c>
      <c r="E65" s="151" t="str">
        <f>'JULHO  2026'!E245</f>
        <v>0403010241</v>
      </c>
      <c r="F65" s="151" t="str">
        <f>'JULHO  2026'!F245</f>
        <v>tratamento cirurgico de fistula liquorica craniana</v>
      </c>
      <c r="G65" s="151">
        <f>'JULHO  2026'!G245</f>
        <v>671.94</v>
      </c>
      <c r="H65" s="151" t="str">
        <f>'JULHO  2026'!H245</f>
        <v>CAMILA MOURA DE SOUSA</v>
      </c>
      <c r="I65" s="231" t="s">
        <v>744</v>
      </c>
    </row>
    <row r="66" ht="15.75" customHeight="1">
      <c r="A66" s="32">
        <v>19.0</v>
      </c>
      <c r="B66" s="151" t="str">
        <f>'JULHO  2026'!B251</f>
        <v>DENISE OLIVEIRA DE  DE ASSIS</v>
      </c>
      <c r="C66" s="150">
        <f>'JULHO  2026'!C251</f>
        <v>46224</v>
      </c>
      <c r="D66" s="32">
        <f>'JULHO  2026'!D251</f>
        <v>18965277</v>
      </c>
      <c r="E66" s="151" t="str">
        <f>'JULHO  2026'!E251</f>
        <v>0408030100</v>
      </c>
      <c r="F66" s="151" t="str">
        <f>'JULHO  2026'!F251</f>
        <v>artrodese cervical anterior  4 niveis </v>
      </c>
      <c r="G66" s="151">
        <f>'JULHO  2026'!G251</f>
        <v>1155.78</v>
      </c>
      <c r="H66" s="151" t="str">
        <f>'JULHO  2026'!H251</f>
        <v>ARTUR BASTOS ROCHA</v>
      </c>
      <c r="I66" s="231" t="s">
        <v>744</v>
      </c>
    </row>
    <row r="67" ht="15.75" customHeight="1">
      <c r="A67" s="32">
        <v>20.0</v>
      </c>
      <c r="B67" s="151" t="str">
        <f>'JULHO  2026'!B257</f>
        <v>DIOGO GOMES COSTA</v>
      </c>
      <c r="C67" s="150">
        <f>'JULHO  2026'!C257</f>
        <v>46227</v>
      </c>
      <c r="D67" s="32">
        <f>'JULHO  2026'!D257</f>
        <v>14457824</v>
      </c>
      <c r="E67" s="151" t="str">
        <f>'JULHO  2026'!E257</f>
        <v>0403020077</v>
      </c>
      <c r="F67" s="151" t="str">
        <f>'JULHO  2026'!F257</f>
        <v>neurolise não funcional de nervos  perifericos</v>
      </c>
      <c r="G67" s="151">
        <f>'JULHO  2026'!G257</f>
        <v>180.75</v>
      </c>
      <c r="H67" s="151" t="str">
        <f>'JULHO  2026'!H257</f>
        <v>WAGNER DE AZEVEDO  HERCULANO</v>
      </c>
      <c r="I67" s="231" t="s">
        <v>744</v>
      </c>
    </row>
    <row r="68" ht="15.75" customHeight="1">
      <c r="A68" s="32">
        <v>21.0</v>
      </c>
      <c r="B68" s="151" t="str">
        <f>'JULHO  2026'!B263</f>
        <v>DOUGLAS MOREIRA  DANTAS  DA ISLVA</v>
      </c>
      <c r="C68" s="150">
        <f>'JULHO  2026'!C263</f>
        <v>46227</v>
      </c>
      <c r="D68" s="32">
        <f>'JULHO  2026'!D263</f>
        <v>16987141</v>
      </c>
      <c r="E68" s="151" t="str">
        <f>'JULHO  2026'!E263</f>
        <v>0403030153</v>
      </c>
      <c r="F68" s="151" t="str">
        <f>'JULHO  2026'!F263</f>
        <v>Microcirurgia para tumor intracraniano (com tecnica complementar)</v>
      </c>
      <c r="G68" s="151">
        <f>'JULHO  2026'!G263</f>
        <v>2054.08</v>
      </c>
      <c r="H68" s="151" t="str">
        <f>'JULHO  2026'!H263</f>
        <v>LUIZ AUGUSTO MEDRADO SOEIRO</v>
      </c>
      <c r="I68" s="231" t="s">
        <v>744</v>
      </c>
    </row>
    <row r="69" ht="15.75" customHeight="1">
      <c r="A69" s="32">
        <v>22.0</v>
      </c>
      <c r="B69" s="151" t="str">
        <f>'JULHO  2026'!B269</f>
        <v>EDIJANE ROZA RIBEIRO</v>
      </c>
      <c r="C69" s="150">
        <f>'JULHO  2026'!C269</f>
        <v>46229</v>
      </c>
      <c r="D69" s="32">
        <f>'JULHO  2026'!D269</f>
        <v>20417739</v>
      </c>
      <c r="E69" s="151" t="str">
        <f>'JULHO  2026'!E269</f>
        <v>0403010020</v>
      </c>
      <c r="F69" s="151" t="str">
        <f>'JULHO  2026'!F269</f>
        <v>Craniotomia descompressiva</v>
      </c>
      <c r="G69" s="151">
        <f>'JULHO  2026'!G269</f>
        <v>391.86</v>
      </c>
      <c r="H69" s="151" t="str">
        <f>'JULHO  2026'!H269</f>
        <v>CAMILA MOURA DE SOUSA</v>
      </c>
      <c r="I69" s="231" t="s">
        <v>744</v>
      </c>
    </row>
    <row r="70" ht="15.75" customHeight="1">
      <c r="A70" s="32">
        <v>23.0</v>
      </c>
      <c r="B70" s="151" t="str">
        <f>'JULHO  2026'!B275</f>
        <v>EDILSON EVANGELISTA FERREIRA  DOS SANTOS</v>
      </c>
      <c r="C70" s="150">
        <f>'JULHO  2026'!C275</f>
        <v>46228</v>
      </c>
      <c r="D70" s="32">
        <f>'JULHO  2026'!D275</f>
        <v>20599759</v>
      </c>
      <c r="E70" s="151" t="str">
        <f>'JULHO  2026'!E275</f>
        <v>0403010241</v>
      </c>
      <c r="F70" s="151" t="str">
        <f>'JULHO  2026'!F275</f>
        <v>tratamento cirurgico de fistula liquorica craniana</v>
      </c>
      <c r="G70" s="151">
        <f>'JULHO  2026'!G275</f>
        <v>671.94</v>
      </c>
      <c r="H70" s="151" t="str">
        <f>'JULHO  2026'!H275</f>
        <v>CAMILA MOURA DE SOUSA</v>
      </c>
      <c r="I70" s="151" t="s">
        <v>745</v>
      </c>
    </row>
    <row r="71" ht="15.75" customHeight="1">
      <c r="A71" s="32">
        <v>24.0</v>
      </c>
      <c r="B71" s="151" t="str">
        <f>'JULHO  2026'!B281</f>
        <v>FELIPE SILVA DOS SANTOS</v>
      </c>
      <c r="C71" s="150">
        <f>'JULHO  2026'!C281</f>
        <v>46217</v>
      </c>
      <c r="D71" s="32">
        <f>'JULHO  2026'!D281</f>
        <v>20482220</v>
      </c>
      <c r="E71" s="151" t="str">
        <f>'JULHO  2026'!E281</f>
        <v>0403010241</v>
      </c>
      <c r="F71" s="151" t="str">
        <f>'JULHO  2026'!F281</f>
        <v>tratamento cirurgico de fistula liquorica craniana</v>
      </c>
      <c r="G71" s="151">
        <f>'JULHO  2026'!G281</f>
        <v>671.94</v>
      </c>
      <c r="H71" s="151" t="str">
        <f>'JULHO  2026'!H281</f>
        <v>PEDRO HENRIQUE V.  PONDÉ DE SENA</v>
      </c>
      <c r="I71" s="151" t="s">
        <v>744</v>
      </c>
    </row>
    <row r="72" ht="15.75" customHeight="1">
      <c r="A72" s="32">
        <v>25.0</v>
      </c>
      <c r="B72" s="151" t="str">
        <f>'JULHO  2026'!B287</f>
        <v>GIVANILDO  DE JESUS CARVALHO</v>
      </c>
      <c r="C72" s="150">
        <f>'JULHO  2026'!C287</f>
        <v>46222</v>
      </c>
      <c r="D72" s="32">
        <f>'JULHO  2026'!D287</f>
        <v>16688154</v>
      </c>
      <c r="E72" s="151" t="str">
        <f>'JULHO  2026'!E287</f>
        <v>0403010110</v>
      </c>
      <c r="F72" s="151" t="str">
        <f>'JULHO  2026'!F287</f>
        <v>descompressão de orbita por doença  ou trauma</v>
      </c>
      <c r="G72" s="151">
        <f>'JULHO  2026'!G287</f>
        <v>786.5</v>
      </c>
      <c r="H72" s="151" t="str">
        <f>'JULHO  2026'!H287</f>
        <v>EDUARDO VARJÃO VIEIRA </v>
      </c>
      <c r="I72" s="151" t="s">
        <v>745</v>
      </c>
    </row>
    <row r="73" ht="15.75" customHeight="1">
      <c r="A73" s="32">
        <v>26.0</v>
      </c>
      <c r="B73" s="151" t="str">
        <f>'JULHO  2026'!B293</f>
        <v>HONORINO SALES DA CONCEIÇÃO </v>
      </c>
      <c r="C73" s="150">
        <f>'JULHO  2026'!C293</f>
        <v>46224</v>
      </c>
      <c r="D73" s="32">
        <f>'JULHO  2026'!D293</f>
        <v>9525684</v>
      </c>
      <c r="E73" s="151" t="str">
        <f>'JULHO  2026'!E293</f>
        <v>0403010136</v>
      </c>
      <c r="F73" s="151" t="str">
        <f>'JULHO  2026'!F293</f>
        <v>microcirurgia da siringomielia</v>
      </c>
      <c r="G73" s="151">
        <f>'JULHO  2026'!G293</f>
        <v>896.19</v>
      </c>
      <c r="H73" s="151" t="str">
        <f>'JULHO  2026'!H293</f>
        <v>ARTUR BASTOS ROCHA</v>
      </c>
      <c r="I73" s="151" t="s">
        <v>744</v>
      </c>
    </row>
    <row r="74" ht="15.75" customHeight="1">
      <c r="A74" s="11"/>
      <c r="B74" s="19"/>
      <c r="C74" s="11"/>
      <c r="D74" s="11"/>
    </row>
    <row r="75" ht="15.75" customHeight="1">
      <c r="A75" s="11"/>
      <c r="B75" s="19"/>
      <c r="C75" s="11"/>
      <c r="D75" s="11"/>
    </row>
    <row r="76" ht="15.75" customHeight="1">
      <c r="A76" s="11"/>
      <c r="B76" s="19"/>
      <c r="C76" s="11"/>
      <c r="D76" s="11"/>
    </row>
    <row r="77" ht="15.75" customHeight="1">
      <c r="A77" s="11"/>
      <c r="B77" s="19"/>
      <c r="C77" s="11"/>
      <c r="D77" s="11"/>
    </row>
    <row r="78" ht="15.75" customHeight="1">
      <c r="A78" s="11"/>
      <c r="B78" s="19"/>
      <c r="C78" s="11"/>
      <c r="D78" s="11"/>
    </row>
    <row r="79" ht="15.75" customHeight="1">
      <c r="A79" s="11"/>
      <c r="B79" s="19"/>
      <c r="C79" s="11"/>
      <c r="D79" s="11"/>
    </row>
    <row r="80" ht="15.75" customHeight="1">
      <c r="A80" s="11"/>
      <c r="B80" s="19"/>
      <c r="C80" s="11"/>
      <c r="D80" s="11"/>
    </row>
    <row r="81" ht="15.75" customHeight="1">
      <c r="A81" s="11"/>
      <c r="B81" s="19"/>
      <c r="C81" s="11"/>
      <c r="D81" s="11"/>
    </row>
    <row r="82" ht="15.75" customHeight="1">
      <c r="A82" s="11"/>
      <c r="B82" s="19"/>
      <c r="C82" s="11"/>
      <c r="D82" s="11"/>
    </row>
    <row r="83" ht="15.75" customHeight="1">
      <c r="A83" s="11"/>
      <c r="B83" s="19"/>
      <c r="C83" s="11"/>
      <c r="D83" s="11"/>
    </row>
    <row r="84" ht="15.75" customHeight="1">
      <c r="A84" s="11"/>
      <c r="B84" s="19"/>
      <c r="C84" s="11"/>
      <c r="D84" s="11"/>
    </row>
    <row r="85" ht="15.75" customHeight="1">
      <c r="A85" s="11"/>
      <c r="B85" s="19"/>
      <c r="C85" s="11"/>
      <c r="D85" s="11"/>
    </row>
    <row r="86" ht="15.75" customHeight="1">
      <c r="A86" s="11"/>
      <c r="B86" s="19"/>
      <c r="C86" s="11"/>
      <c r="D86" s="11"/>
    </row>
    <row r="87" ht="15.75" customHeight="1">
      <c r="A87" s="11"/>
      <c r="B87" s="19"/>
      <c r="C87" s="11"/>
      <c r="D87" s="11"/>
    </row>
    <row r="88" ht="15.75" customHeight="1">
      <c r="A88" s="11"/>
      <c r="B88" s="19"/>
      <c r="C88" s="11"/>
      <c r="D88" s="11"/>
    </row>
    <row r="89" ht="15.75" customHeight="1">
      <c r="A89" s="11"/>
      <c r="B89" s="19"/>
      <c r="C89" s="11"/>
      <c r="D89" s="11"/>
    </row>
    <row r="90" ht="15.75" customHeight="1">
      <c r="A90" s="11"/>
      <c r="B90" s="19"/>
      <c r="C90" s="11"/>
      <c r="D90" s="11"/>
    </row>
    <row r="91" ht="15.75" customHeight="1">
      <c r="A91" s="11"/>
      <c r="B91" s="19"/>
      <c r="C91" s="11"/>
      <c r="D91" s="11"/>
    </row>
    <row r="92" ht="15.75" customHeight="1">
      <c r="A92" s="11"/>
      <c r="B92" s="19"/>
      <c r="C92" s="11"/>
      <c r="D92" s="11"/>
    </row>
    <row r="93" ht="15.75" customHeight="1">
      <c r="A93" s="11"/>
      <c r="B93" s="19"/>
      <c r="C93" s="11"/>
      <c r="D93" s="11"/>
    </row>
    <row r="94" ht="15.75" customHeight="1">
      <c r="A94" s="11"/>
      <c r="B94" s="19"/>
      <c r="C94" s="11"/>
      <c r="D94" s="11"/>
    </row>
    <row r="95" ht="15.75" customHeight="1">
      <c r="A95" s="11"/>
      <c r="B95" s="19"/>
      <c r="C95" s="11"/>
      <c r="D95" s="11"/>
    </row>
    <row r="96" ht="15.75" customHeight="1">
      <c r="A96" s="11"/>
      <c r="B96" s="19"/>
      <c r="C96" s="11"/>
      <c r="D96" s="11"/>
    </row>
    <row r="97" ht="15.75" customHeight="1">
      <c r="A97" s="11"/>
      <c r="B97" s="19"/>
      <c r="C97" s="11"/>
      <c r="D97" s="11"/>
    </row>
    <row r="98" ht="15.75" customHeight="1">
      <c r="A98" s="11"/>
      <c r="B98" s="19"/>
      <c r="C98" s="11"/>
      <c r="D98" s="11"/>
    </row>
    <row r="99" ht="15.75" customHeight="1">
      <c r="A99" s="11"/>
      <c r="B99" s="19"/>
      <c r="C99" s="11"/>
      <c r="D99" s="11"/>
    </row>
    <row r="100" ht="15.75" customHeight="1">
      <c r="A100" s="11"/>
      <c r="B100" s="19"/>
      <c r="C100" s="11"/>
      <c r="D100" s="11"/>
    </row>
    <row r="101" ht="15.75" customHeight="1">
      <c r="A101" s="11"/>
      <c r="B101" s="19"/>
      <c r="C101" s="11"/>
      <c r="D101" s="11"/>
    </row>
    <row r="102" ht="15.75" customHeight="1">
      <c r="A102" s="11"/>
      <c r="B102" s="19"/>
      <c r="C102" s="11"/>
      <c r="D102" s="11"/>
    </row>
    <row r="103" ht="15.75" customHeight="1">
      <c r="A103" s="11"/>
      <c r="B103" s="19"/>
      <c r="C103" s="11"/>
      <c r="D103" s="11"/>
    </row>
    <row r="104" ht="15.75" customHeight="1">
      <c r="A104" s="11"/>
      <c r="B104" s="19"/>
      <c r="C104" s="11"/>
      <c r="D104" s="11"/>
    </row>
    <row r="105" ht="15.75" customHeight="1">
      <c r="A105" s="11"/>
      <c r="B105" s="19"/>
      <c r="C105" s="11"/>
      <c r="D105" s="11"/>
    </row>
    <row r="106" ht="15.75" customHeight="1">
      <c r="A106" s="11"/>
      <c r="B106" s="19"/>
      <c r="C106" s="11"/>
      <c r="D106" s="11"/>
    </row>
    <row r="107" ht="15.75" customHeight="1">
      <c r="A107" s="11"/>
      <c r="B107" s="19"/>
      <c r="C107" s="11"/>
      <c r="D107" s="11"/>
    </row>
    <row r="108" ht="15.75" customHeight="1">
      <c r="A108" s="11"/>
      <c r="B108" s="19"/>
      <c r="C108" s="11"/>
      <c r="D108" s="11"/>
    </row>
    <row r="109" ht="15.75" customHeight="1">
      <c r="A109" s="11"/>
      <c r="B109" s="19"/>
      <c r="C109" s="11"/>
      <c r="D109" s="11"/>
    </row>
    <row r="110" ht="15.75" customHeight="1">
      <c r="A110" s="11"/>
      <c r="B110" s="19"/>
      <c r="C110" s="11"/>
      <c r="D110" s="11"/>
    </row>
    <row r="111" ht="15.75" customHeight="1">
      <c r="A111" s="11"/>
      <c r="B111" s="19"/>
      <c r="C111" s="11"/>
      <c r="D111" s="11"/>
    </row>
    <row r="112" ht="15.75" customHeight="1">
      <c r="A112" s="11"/>
      <c r="B112" s="19"/>
      <c r="C112" s="11"/>
      <c r="D112" s="11"/>
    </row>
    <row r="113" ht="15.75" customHeight="1">
      <c r="A113" s="11"/>
      <c r="B113" s="19"/>
      <c r="C113" s="11"/>
      <c r="D113" s="11"/>
    </row>
    <row r="114" ht="15.75" customHeight="1">
      <c r="A114" s="11"/>
      <c r="B114" s="19"/>
      <c r="C114" s="11"/>
      <c r="D114" s="11"/>
    </row>
    <row r="115" ht="15.75" customHeight="1">
      <c r="A115" s="11"/>
      <c r="B115" s="19"/>
      <c r="C115" s="11"/>
      <c r="D115" s="11"/>
    </row>
    <row r="116" ht="15.75" customHeight="1">
      <c r="A116" s="11"/>
      <c r="B116" s="19"/>
      <c r="C116" s="11"/>
      <c r="D116" s="11"/>
    </row>
    <row r="117" ht="15.75" customHeight="1">
      <c r="A117" s="11"/>
      <c r="B117" s="19"/>
      <c r="C117" s="11"/>
      <c r="D117" s="11"/>
    </row>
    <row r="118" ht="15.75" customHeight="1">
      <c r="A118" s="11"/>
      <c r="B118" s="19"/>
      <c r="C118" s="11"/>
      <c r="D118" s="11"/>
    </row>
    <row r="119" ht="15.75" customHeight="1">
      <c r="A119" s="11"/>
      <c r="B119" s="19"/>
      <c r="C119" s="11"/>
      <c r="D119" s="11"/>
    </row>
    <row r="120" ht="15.75" customHeight="1">
      <c r="A120" s="11"/>
      <c r="B120" s="19"/>
      <c r="C120" s="11"/>
      <c r="D120" s="11"/>
    </row>
    <row r="121" ht="15.75" customHeight="1">
      <c r="A121" s="11"/>
      <c r="B121" s="19"/>
      <c r="C121" s="11"/>
      <c r="D121" s="11"/>
    </row>
    <row r="122" ht="15.75" customHeight="1">
      <c r="A122" s="11"/>
      <c r="B122" s="19"/>
      <c r="C122" s="11"/>
      <c r="D122" s="11"/>
    </row>
    <row r="123" ht="15.75" customHeight="1">
      <c r="A123" s="11"/>
      <c r="B123" s="19"/>
      <c r="C123" s="11"/>
      <c r="D123" s="11"/>
    </row>
    <row r="124" ht="15.75" customHeight="1">
      <c r="A124" s="11"/>
      <c r="B124" s="19"/>
      <c r="C124" s="11"/>
      <c r="D124" s="11"/>
    </row>
    <row r="125" ht="15.75" customHeight="1">
      <c r="A125" s="11"/>
      <c r="B125" s="19"/>
      <c r="C125" s="11"/>
      <c r="D125" s="11"/>
    </row>
    <row r="126" ht="15.75" customHeight="1">
      <c r="A126" s="11"/>
      <c r="B126" s="19"/>
      <c r="C126" s="11"/>
      <c r="D126" s="11"/>
    </row>
    <row r="127" ht="15.75" customHeight="1">
      <c r="A127" s="11"/>
      <c r="B127" s="19"/>
      <c r="C127" s="11"/>
      <c r="D127" s="11"/>
    </row>
    <row r="128" ht="15.75" customHeight="1">
      <c r="A128" s="11"/>
      <c r="B128" s="19"/>
      <c r="C128" s="11"/>
      <c r="D128" s="11"/>
    </row>
    <row r="129" ht="15.75" customHeight="1">
      <c r="A129" s="11"/>
      <c r="B129" s="19"/>
      <c r="C129" s="11"/>
      <c r="D129" s="11"/>
    </row>
    <row r="130" ht="15.75" customHeight="1">
      <c r="A130" s="11"/>
      <c r="B130" s="19"/>
      <c r="C130" s="11"/>
      <c r="D130" s="11"/>
    </row>
    <row r="131" ht="15.75" customHeight="1">
      <c r="A131" s="11"/>
      <c r="B131" s="19"/>
      <c r="C131" s="11"/>
      <c r="D131" s="11"/>
    </row>
    <row r="132" ht="15.75" customHeight="1">
      <c r="A132" s="11"/>
      <c r="B132" s="19"/>
      <c r="C132" s="11"/>
      <c r="D132" s="11"/>
    </row>
    <row r="133" ht="15.75" customHeight="1">
      <c r="A133" s="11"/>
      <c r="B133" s="19"/>
      <c r="C133" s="11"/>
      <c r="D133" s="11"/>
    </row>
    <row r="134" ht="15.75" customHeight="1">
      <c r="A134" s="11"/>
      <c r="B134" s="19"/>
      <c r="C134" s="11"/>
      <c r="D134" s="11"/>
    </row>
    <row r="135" ht="15.75" customHeight="1">
      <c r="A135" s="11"/>
      <c r="B135" s="19"/>
      <c r="C135" s="11"/>
      <c r="D135" s="11"/>
    </row>
    <row r="136" ht="15.75" customHeight="1">
      <c r="A136" s="11"/>
      <c r="B136" s="19"/>
      <c r="C136" s="11"/>
      <c r="D136" s="11"/>
    </row>
    <row r="137" ht="15.75" customHeight="1">
      <c r="A137" s="11"/>
      <c r="B137" s="19"/>
      <c r="C137" s="11"/>
      <c r="D137" s="11"/>
    </row>
    <row r="138" ht="15.75" customHeight="1">
      <c r="A138" s="11"/>
      <c r="B138" s="19"/>
      <c r="C138" s="11"/>
      <c r="D138" s="11"/>
    </row>
    <row r="139" ht="15.75" customHeight="1">
      <c r="A139" s="11"/>
      <c r="B139" s="19"/>
      <c r="C139" s="11"/>
      <c r="D139" s="11"/>
    </row>
    <row r="140" ht="15.75" customHeight="1">
      <c r="A140" s="11"/>
      <c r="B140" s="19"/>
      <c r="C140" s="11"/>
      <c r="D140" s="11"/>
    </row>
    <row r="141" ht="15.75" customHeight="1">
      <c r="A141" s="11"/>
      <c r="B141" s="19"/>
      <c r="C141" s="11"/>
      <c r="D141" s="11"/>
    </row>
    <row r="142" ht="15.75" customHeight="1">
      <c r="A142" s="11"/>
      <c r="B142" s="19"/>
      <c r="C142" s="11"/>
      <c r="D142" s="11"/>
    </row>
    <row r="143" ht="15.75" customHeight="1">
      <c r="A143" s="11"/>
      <c r="B143" s="19"/>
      <c r="C143" s="11"/>
      <c r="D143" s="11"/>
    </row>
    <row r="144" ht="15.75" customHeight="1">
      <c r="A144" s="11"/>
      <c r="B144" s="19"/>
      <c r="C144" s="11"/>
      <c r="D144" s="11"/>
    </row>
    <row r="145" ht="15.75" customHeight="1">
      <c r="A145" s="11"/>
      <c r="B145" s="19"/>
      <c r="C145" s="11"/>
      <c r="D145" s="11"/>
    </row>
    <row r="146" ht="15.75" customHeight="1">
      <c r="A146" s="11"/>
      <c r="B146" s="19"/>
      <c r="C146" s="11"/>
      <c r="D146" s="11"/>
    </row>
    <row r="147" ht="15.75" customHeight="1">
      <c r="A147" s="11"/>
      <c r="B147" s="19"/>
      <c r="C147" s="11"/>
      <c r="D147" s="11"/>
    </row>
    <row r="148" ht="15.75" customHeight="1">
      <c r="A148" s="11"/>
      <c r="B148" s="19"/>
      <c r="C148" s="11"/>
      <c r="D148" s="11"/>
    </row>
    <row r="149" ht="15.75" customHeight="1">
      <c r="A149" s="11"/>
      <c r="B149" s="19"/>
      <c r="C149" s="11"/>
      <c r="D149" s="11"/>
    </row>
    <row r="150" ht="15.75" customHeight="1">
      <c r="A150" s="11"/>
      <c r="B150" s="19"/>
      <c r="C150" s="11"/>
      <c r="D150" s="11"/>
    </row>
    <row r="151" ht="15.75" customHeight="1">
      <c r="A151" s="11"/>
      <c r="B151" s="19"/>
      <c r="C151" s="11"/>
      <c r="D151" s="11"/>
    </row>
    <row r="152" ht="15.75" customHeight="1">
      <c r="A152" s="11"/>
      <c r="B152" s="19"/>
      <c r="C152" s="11"/>
      <c r="D152" s="11"/>
    </row>
    <row r="153" ht="15.75" customHeight="1">
      <c r="A153" s="11"/>
      <c r="B153" s="19"/>
      <c r="C153" s="11"/>
      <c r="D153" s="11"/>
    </row>
    <row r="154" ht="15.75" customHeight="1">
      <c r="A154" s="11"/>
      <c r="B154" s="19"/>
      <c r="C154" s="11"/>
      <c r="D154" s="11"/>
    </row>
    <row r="155" ht="15.75" customHeight="1">
      <c r="A155" s="11"/>
      <c r="B155" s="19"/>
      <c r="C155" s="11"/>
      <c r="D155" s="11"/>
    </row>
    <row r="156" ht="15.75" customHeight="1">
      <c r="A156" s="11"/>
      <c r="B156" s="19"/>
      <c r="C156" s="11"/>
      <c r="D156" s="11"/>
    </row>
    <row r="157" ht="15.75" customHeight="1">
      <c r="A157" s="11"/>
      <c r="B157" s="19"/>
      <c r="C157" s="11"/>
      <c r="D157" s="11"/>
    </row>
    <row r="158" ht="15.75" customHeight="1">
      <c r="A158" s="11"/>
      <c r="B158" s="19"/>
      <c r="C158" s="11"/>
      <c r="D158" s="11"/>
    </row>
    <row r="159" ht="15.75" customHeight="1">
      <c r="A159" s="11"/>
      <c r="B159" s="19"/>
      <c r="C159" s="11"/>
      <c r="D159" s="11"/>
    </row>
    <row r="160" ht="15.75" customHeight="1">
      <c r="A160" s="11"/>
      <c r="B160" s="19"/>
      <c r="C160" s="11"/>
      <c r="D160" s="11"/>
    </row>
    <row r="161" ht="15.75" customHeight="1">
      <c r="A161" s="11"/>
      <c r="B161" s="19"/>
      <c r="C161" s="11"/>
      <c r="D161" s="11"/>
    </row>
    <row r="162" ht="15.75" customHeight="1">
      <c r="A162" s="11"/>
      <c r="B162" s="19"/>
      <c r="C162" s="11"/>
      <c r="D162" s="11"/>
    </row>
    <row r="163" ht="15.75" customHeight="1">
      <c r="A163" s="11"/>
      <c r="B163" s="19"/>
      <c r="C163" s="11"/>
      <c r="D163" s="11"/>
    </row>
    <row r="164" ht="15.75" customHeight="1">
      <c r="A164" s="11"/>
      <c r="B164" s="19"/>
      <c r="C164" s="11"/>
      <c r="D164" s="11"/>
    </row>
    <row r="165" ht="15.75" customHeight="1">
      <c r="A165" s="11"/>
      <c r="B165" s="19"/>
      <c r="C165" s="11"/>
      <c r="D165" s="11"/>
    </row>
    <row r="166" ht="15.75" customHeight="1">
      <c r="A166" s="11"/>
      <c r="B166" s="19"/>
      <c r="C166" s="11"/>
      <c r="D166" s="11"/>
    </row>
    <row r="167" ht="15.75" customHeight="1">
      <c r="A167" s="11"/>
      <c r="B167" s="19"/>
      <c r="C167" s="11"/>
      <c r="D167" s="11"/>
    </row>
    <row r="168" ht="15.75" customHeight="1">
      <c r="A168" s="11"/>
      <c r="B168" s="19"/>
      <c r="C168" s="11"/>
      <c r="D168" s="11"/>
    </row>
    <row r="169" ht="15.75" customHeight="1">
      <c r="A169" s="11"/>
      <c r="B169" s="19"/>
      <c r="C169" s="11"/>
      <c r="D169" s="11"/>
    </row>
    <row r="170" ht="15.75" customHeight="1">
      <c r="A170" s="11"/>
      <c r="B170" s="19"/>
      <c r="C170" s="11"/>
      <c r="D170" s="11"/>
    </row>
    <row r="171" ht="15.75" customHeight="1">
      <c r="A171" s="11"/>
      <c r="B171" s="19"/>
      <c r="C171" s="11"/>
      <c r="D171" s="11"/>
    </row>
    <row r="172" ht="15.75" customHeight="1">
      <c r="A172" s="11"/>
      <c r="B172" s="19"/>
      <c r="C172" s="11"/>
      <c r="D172" s="11"/>
    </row>
    <row r="173" ht="15.75" customHeight="1">
      <c r="A173" s="11"/>
      <c r="B173" s="19"/>
      <c r="C173" s="11"/>
      <c r="D173" s="11"/>
    </row>
    <row r="174" ht="15.75" customHeight="1">
      <c r="A174" s="11"/>
      <c r="B174" s="19"/>
      <c r="C174" s="11"/>
      <c r="D174" s="11"/>
    </row>
    <row r="175" ht="15.75" customHeight="1">
      <c r="A175" s="11"/>
      <c r="B175" s="19"/>
      <c r="C175" s="11"/>
      <c r="D175" s="11"/>
    </row>
    <row r="176" ht="15.75" customHeight="1">
      <c r="A176" s="11"/>
      <c r="B176" s="19"/>
      <c r="C176" s="11"/>
      <c r="D176" s="11"/>
    </row>
    <row r="177" ht="15.75" customHeight="1">
      <c r="A177" s="11"/>
      <c r="B177" s="19"/>
      <c r="C177" s="11"/>
      <c r="D177" s="11"/>
    </row>
    <row r="178" ht="15.75" customHeight="1">
      <c r="A178" s="11"/>
      <c r="B178" s="19"/>
      <c r="C178" s="11"/>
      <c r="D178" s="11"/>
    </row>
    <row r="179" ht="15.75" customHeight="1">
      <c r="A179" s="11"/>
      <c r="B179" s="19"/>
      <c r="C179" s="11"/>
      <c r="D179" s="11"/>
    </row>
    <row r="180" ht="15.75" customHeight="1">
      <c r="A180" s="11"/>
      <c r="B180" s="19"/>
      <c r="C180" s="11"/>
      <c r="D180" s="11"/>
    </row>
    <row r="181" ht="15.75" customHeight="1">
      <c r="A181" s="11"/>
      <c r="B181" s="19"/>
      <c r="C181" s="11"/>
      <c r="D181" s="11"/>
    </row>
    <row r="182" ht="15.75" customHeight="1">
      <c r="A182" s="11"/>
      <c r="B182" s="19"/>
      <c r="C182" s="11"/>
      <c r="D182" s="11"/>
    </row>
    <row r="183" ht="15.75" customHeight="1">
      <c r="A183" s="11"/>
      <c r="B183" s="19"/>
      <c r="C183" s="11"/>
      <c r="D183" s="11"/>
    </row>
    <row r="184" ht="15.75" customHeight="1">
      <c r="A184" s="11"/>
      <c r="B184" s="19"/>
      <c r="C184" s="11"/>
      <c r="D184" s="11"/>
    </row>
    <row r="185" ht="15.75" customHeight="1">
      <c r="A185" s="11"/>
      <c r="B185" s="19"/>
      <c r="C185" s="11"/>
      <c r="D185" s="11"/>
    </row>
    <row r="186" ht="15.75" customHeight="1">
      <c r="A186" s="11"/>
      <c r="B186" s="19"/>
      <c r="C186" s="11"/>
      <c r="D186" s="11"/>
    </row>
    <row r="187" ht="15.75" customHeight="1">
      <c r="A187" s="11"/>
      <c r="B187" s="19"/>
      <c r="C187" s="11"/>
      <c r="D187" s="11"/>
    </row>
    <row r="188" ht="15.75" customHeight="1">
      <c r="A188" s="11"/>
      <c r="B188" s="19"/>
      <c r="C188" s="11"/>
      <c r="D188" s="11"/>
    </row>
    <row r="189" ht="15.75" customHeight="1">
      <c r="A189" s="11"/>
      <c r="B189" s="19"/>
      <c r="C189" s="11"/>
      <c r="D189" s="11"/>
    </row>
    <row r="190" ht="15.75" customHeight="1">
      <c r="A190" s="11"/>
      <c r="B190" s="19"/>
      <c r="C190" s="11"/>
      <c r="D190" s="11"/>
    </row>
    <row r="191" ht="15.75" customHeight="1">
      <c r="A191" s="11"/>
      <c r="B191" s="19"/>
      <c r="C191" s="11"/>
      <c r="D191" s="11"/>
    </row>
    <row r="192" ht="15.75" customHeight="1">
      <c r="A192" s="11"/>
      <c r="B192" s="19"/>
      <c r="C192" s="11"/>
      <c r="D192" s="11"/>
    </row>
    <row r="193" ht="15.75" customHeight="1">
      <c r="A193" s="11"/>
      <c r="B193" s="19"/>
      <c r="C193" s="11"/>
      <c r="D193" s="11"/>
    </row>
    <row r="194" ht="15.75" customHeight="1">
      <c r="A194" s="11"/>
      <c r="B194" s="19"/>
      <c r="C194" s="11"/>
      <c r="D194" s="11"/>
    </row>
    <row r="195" ht="15.75" customHeight="1">
      <c r="A195" s="11"/>
      <c r="B195" s="19"/>
      <c r="C195" s="11"/>
      <c r="D195" s="11"/>
    </row>
    <row r="196" ht="15.75" customHeight="1">
      <c r="A196" s="11"/>
      <c r="B196" s="19"/>
      <c r="C196" s="11"/>
      <c r="D196" s="11"/>
    </row>
    <row r="197" ht="15.75" customHeight="1">
      <c r="A197" s="11"/>
      <c r="B197" s="19"/>
      <c r="C197" s="11"/>
      <c r="D197" s="11"/>
    </row>
    <row r="198" ht="15.75" customHeight="1">
      <c r="A198" s="11"/>
      <c r="B198" s="19"/>
      <c r="C198" s="11"/>
      <c r="D198" s="11"/>
    </row>
    <row r="199" ht="15.75" customHeight="1">
      <c r="A199" s="11"/>
      <c r="B199" s="19"/>
      <c r="C199" s="11"/>
      <c r="D199" s="11"/>
    </row>
    <row r="200" ht="15.75" customHeight="1">
      <c r="A200" s="11"/>
      <c r="B200" s="19"/>
      <c r="C200" s="11"/>
      <c r="D200" s="11"/>
    </row>
    <row r="201" ht="15.75" customHeight="1">
      <c r="A201" s="11"/>
      <c r="B201" s="19"/>
      <c r="C201" s="11"/>
      <c r="D201" s="11"/>
    </row>
    <row r="202" ht="15.75" customHeight="1">
      <c r="A202" s="11"/>
      <c r="B202" s="19"/>
      <c r="C202" s="11"/>
      <c r="D202" s="11"/>
    </row>
    <row r="203" ht="15.75" customHeight="1">
      <c r="A203" s="11"/>
      <c r="B203" s="19"/>
      <c r="C203" s="11"/>
      <c r="D203" s="11"/>
    </row>
    <row r="204" ht="15.75" customHeight="1">
      <c r="A204" s="11"/>
      <c r="B204" s="19"/>
      <c r="C204" s="11"/>
      <c r="D204" s="11"/>
    </row>
    <row r="205" ht="15.75" customHeight="1">
      <c r="A205" s="11"/>
      <c r="B205" s="19"/>
      <c r="C205" s="11"/>
      <c r="D205" s="11"/>
    </row>
    <row r="206" ht="15.75" customHeight="1">
      <c r="A206" s="11"/>
      <c r="B206" s="19"/>
      <c r="C206" s="11"/>
      <c r="D206" s="11"/>
    </row>
    <row r="207" ht="15.75" customHeight="1">
      <c r="A207" s="11"/>
      <c r="B207" s="19"/>
      <c r="C207" s="11"/>
      <c r="D207" s="11"/>
    </row>
    <row r="208" ht="15.75" customHeight="1">
      <c r="A208" s="11"/>
      <c r="B208" s="19"/>
      <c r="C208" s="11"/>
      <c r="D208" s="11"/>
    </row>
    <row r="209" ht="15.75" customHeight="1">
      <c r="A209" s="11"/>
      <c r="B209" s="19"/>
      <c r="C209" s="11"/>
      <c r="D209" s="11"/>
    </row>
    <row r="210" ht="15.75" customHeight="1">
      <c r="A210" s="11"/>
      <c r="B210" s="19"/>
      <c r="C210" s="11"/>
      <c r="D210" s="11"/>
    </row>
    <row r="211" ht="15.75" customHeight="1">
      <c r="A211" s="11"/>
      <c r="B211" s="19"/>
      <c r="C211" s="11"/>
      <c r="D211" s="11"/>
    </row>
    <row r="212" ht="15.75" customHeight="1">
      <c r="A212" s="11"/>
      <c r="B212" s="19"/>
      <c r="C212" s="11"/>
      <c r="D212" s="11"/>
    </row>
    <row r="213" ht="15.75" customHeight="1">
      <c r="A213" s="11"/>
      <c r="B213" s="19"/>
      <c r="C213" s="11"/>
      <c r="D213" s="11"/>
    </row>
    <row r="214" ht="15.75" customHeight="1">
      <c r="A214" s="11"/>
      <c r="B214" s="19"/>
      <c r="C214" s="11"/>
      <c r="D214" s="11"/>
    </row>
    <row r="215" ht="15.75" customHeight="1">
      <c r="A215" s="11"/>
      <c r="B215" s="19"/>
      <c r="C215" s="11"/>
      <c r="D215" s="11"/>
    </row>
    <row r="216" ht="15.75" customHeight="1">
      <c r="A216" s="11"/>
      <c r="B216" s="19"/>
      <c r="C216" s="11"/>
      <c r="D216" s="11"/>
    </row>
    <row r="217" ht="15.75" customHeight="1">
      <c r="A217" s="11"/>
      <c r="B217" s="19"/>
      <c r="C217" s="11"/>
      <c r="D217" s="11"/>
    </row>
    <row r="218" ht="15.75" customHeight="1">
      <c r="A218" s="11"/>
      <c r="B218" s="19"/>
      <c r="C218" s="11"/>
      <c r="D218" s="11"/>
    </row>
    <row r="219" ht="15.75" customHeight="1">
      <c r="A219" s="11"/>
      <c r="B219" s="19"/>
      <c r="C219" s="11"/>
      <c r="D219" s="11"/>
    </row>
    <row r="220" ht="15.75" customHeight="1">
      <c r="A220" s="11"/>
      <c r="B220" s="19"/>
      <c r="C220" s="11"/>
      <c r="D220" s="11"/>
    </row>
    <row r="221" ht="15.75" customHeight="1">
      <c r="A221" s="11"/>
      <c r="B221" s="19"/>
      <c r="C221" s="11"/>
      <c r="D221" s="11"/>
    </row>
    <row r="222" ht="15.75" customHeight="1">
      <c r="A222" s="11"/>
      <c r="B222" s="19"/>
      <c r="C222" s="11"/>
      <c r="D222" s="11"/>
    </row>
    <row r="223" ht="15.75" customHeight="1">
      <c r="A223" s="11"/>
      <c r="B223" s="19"/>
      <c r="C223" s="11"/>
      <c r="D223" s="11"/>
    </row>
    <row r="224" ht="15.75" customHeight="1">
      <c r="A224" s="11"/>
      <c r="B224" s="19"/>
      <c r="C224" s="11"/>
      <c r="D224" s="11"/>
    </row>
    <row r="225" ht="15.75" customHeight="1">
      <c r="A225" s="11"/>
      <c r="B225" s="19"/>
      <c r="C225" s="11"/>
      <c r="D225" s="11"/>
    </row>
    <row r="226" ht="15.75" customHeight="1">
      <c r="A226" s="11"/>
      <c r="B226" s="19"/>
      <c r="C226" s="11"/>
      <c r="D226" s="11"/>
    </row>
    <row r="227" ht="15.75" customHeight="1">
      <c r="A227" s="11"/>
      <c r="B227" s="19"/>
      <c r="C227" s="11"/>
      <c r="D227" s="11"/>
    </row>
    <row r="228" ht="15.75" customHeight="1">
      <c r="A228" s="11"/>
      <c r="B228" s="19"/>
      <c r="C228" s="11"/>
      <c r="D228" s="11"/>
    </row>
    <row r="229" ht="15.75" customHeight="1">
      <c r="A229" s="11"/>
      <c r="B229" s="19"/>
      <c r="C229" s="11"/>
      <c r="D229" s="11"/>
    </row>
    <row r="230" ht="15.75" customHeight="1">
      <c r="A230" s="11"/>
      <c r="B230" s="19"/>
      <c r="C230" s="11"/>
      <c r="D230" s="11"/>
    </row>
    <row r="231" ht="15.75" customHeight="1">
      <c r="A231" s="11"/>
      <c r="B231" s="19"/>
      <c r="C231" s="11"/>
      <c r="D231" s="11"/>
    </row>
    <row r="232" ht="15.75" customHeight="1">
      <c r="A232" s="11"/>
      <c r="B232" s="19"/>
      <c r="C232" s="11"/>
      <c r="D232" s="11"/>
    </row>
    <row r="233" ht="15.75" customHeight="1">
      <c r="A233" s="11"/>
      <c r="B233" s="19"/>
      <c r="C233" s="11"/>
      <c r="D233" s="11"/>
    </row>
    <row r="234" ht="15.75" customHeight="1">
      <c r="A234" s="11"/>
      <c r="B234" s="19"/>
      <c r="C234" s="11"/>
      <c r="D234" s="11"/>
    </row>
    <row r="235" ht="15.75" customHeight="1">
      <c r="A235" s="11"/>
      <c r="B235" s="19"/>
      <c r="C235" s="11"/>
      <c r="D235" s="11"/>
    </row>
    <row r="236" ht="15.75" customHeight="1">
      <c r="A236" s="11"/>
      <c r="B236" s="19"/>
      <c r="C236" s="11"/>
      <c r="D236" s="11"/>
    </row>
    <row r="237" ht="15.75" customHeight="1">
      <c r="A237" s="11"/>
      <c r="B237" s="19"/>
      <c r="C237" s="11"/>
      <c r="D237" s="11"/>
    </row>
    <row r="238" ht="15.75" customHeight="1">
      <c r="A238" s="11"/>
      <c r="B238" s="19"/>
      <c r="C238" s="11"/>
      <c r="D238" s="11"/>
    </row>
    <row r="239" ht="15.75" customHeight="1">
      <c r="A239" s="11"/>
      <c r="B239" s="19"/>
      <c r="C239" s="11"/>
      <c r="D239" s="11"/>
    </row>
    <row r="240" ht="15.75" customHeight="1">
      <c r="A240" s="11"/>
      <c r="B240" s="19"/>
      <c r="C240" s="11"/>
      <c r="D240" s="11"/>
    </row>
    <row r="241" ht="15.75" customHeight="1">
      <c r="A241" s="11"/>
      <c r="B241" s="19"/>
      <c r="C241" s="11"/>
      <c r="D241" s="11"/>
    </row>
    <row r="242" ht="15.75" customHeight="1">
      <c r="A242" s="11"/>
      <c r="B242" s="19"/>
      <c r="C242" s="11"/>
      <c r="D242" s="11"/>
    </row>
    <row r="243" ht="15.75" customHeight="1">
      <c r="A243" s="11"/>
      <c r="B243" s="19"/>
      <c r="C243" s="11"/>
      <c r="D243" s="11"/>
    </row>
    <row r="244" ht="15.75" customHeight="1">
      <c r="A244" s="11"/>
      <c r="B244" s="19"/>
      <c r="C244" s="11"/>
      <c r="D244" s="11"/>
    </row>
    <row r="245" ht="15.75" customHeight="1">
      <c r="A245" s="11"/>
      <c r="B245" s="19"/>
      <c r="C245" s="11"/>
      <c r="D245" s="11"/>
    </row>
    <row r="246" ht="15.75" customHeight="1">
      <c r="A246" s="11"/>
      <c r="B246" s="19"/>
      <c r="C246" s="11"/>
      <c r="D246" s="11"/>
    </row>
    <row r="247" ht="15.75" customHeight="1">
      <c r="A247" s="11"/>
      <c r="B247" s="19"/>
      <c r="C247" s="11"/>
      <c r="D247" s="11"/>
    </row>
    <row r="248" ht="15.75" customHeight="1">
      <c r="A248" s="11"/>
      <c r="B248" s="19"/>
      <c r="C248" s="11"/>
      <c r="D248" s="11"/>
    </row>
    <row r="249" ht="15.75" customHeight="1">
      <c r="A249" s="11"/>
      <c r="B249" s="19"/>
      <c r="C249" s="11"/>
      <c r="D249" s="11"/>
    </row>
    <row r="250" ht="15.75" customHeight="1">
      <c r="A250" s="11"/>
      <c r="B250" s="19"/>
      <c r="C250" s="11"/>
      <c r="D250" s="11"/>
    </row>
    <row r="251" ht="15.75" customHeight="1">
      <c r="A251" s="11"/>
      <c r="B251" s="19"/>
      <c r="C251" s="11"/>
      <c r="D251" s="11"/>
    </row>
    <row r="252" ht="15.75" customHeight="1">
      <c r="A252" s="11"/>
      <c r="B252" s="19"/>
      <c r="C252" s="11"/>
      <c r="D252" s="11"/>
    </row>
    <row r="253" ht="15.75" customHeight="1">
      <c r="A253" s="11"/>
      <c r="B253" s="19"/>
      <c r="C253" s="11"/>
      <c r="D253" s="11"/>
    </row>
    <row r="254" ht="15.75" customHeight="1">
      <c r="A254" s="11"/>
      <c r="B254" s="19"/>
      <c r="C254" s="11"/>
      <c r="D254" s="11"/>
    </row>
    <row r="255" ht="15.75" customHeight="1">
      <c r="A255" s="11"/>
      <c r="B255" s="19"/>
      <c r="C255" s="11"/>
      <c r="D255" s="11"/>
    </row>
    <row r="256" ht="15.75" customHeight="1">
      <c r="A256" s="11"/>
      <c r="B256" s="19"/>
      <c r="C256" s="11"/>
      <c r="D256" s="11"/>
    </row>
    <row r="257" ht="15.75" customHeight="1">
      <c r="A257" s="11"/>
      <c r="B257" s="19"/>
      <c r="C257" s="11"/>
      <c r="D257" s="11"/>
    </row>
    <row r="258" ht="15.75" customHeight="1">
      <c r="A258" s="11"/>
      <c r="B258" s="19"/>
      <c r="C258" s="11"/>
      <c r="D258" s="11"/>
    </row>
    <row r="259" ht="15.75" customHeight="1">
      <c r="A259" s="11"/>
      <c r="B259" s="19"/>
      <c r="C259" s="11"/>
      <c r="D259" s="11"/>
    </row>
    <row r="260" ht="15.75" customHeight="1">
      <c r="A260" s="11"/>
      <c r="B260" s="19"/>
      <c r="C260" s="11"/>
      <c r="D260" s="11"/>
    </row>
    <row r="261" ht="15.75" customHeight="1">
      <c r="A261" s="11"/>
      <c r="B261" s="19"/>
      <c r="C261" s="11"/>
      <c r="D261" s="11"/>
    </row>
    <row r="262" ht="15.75" customHeight="1">
      <c r="A262" s="11"/>
      <c r="B262" s="19"/>
      <c r="C262" s="11"/>
      <c r="D262" s="11"/>
    </row>
    <row r="263" ht="15.75" customHeight="1">
      <c r="A263" s="11"/>
      <c r="B263" s="19"/>
      <c r="C263" s="11"/>
      <c r="D263" s="11"/>
    </row>
    <row r="264" ht="15.75" customHeight="1">
      <c r="A264" s="11"/>
      <c r="B264" s="19"/>
      <c r="C264" s="11"/>
      <c r="D264" s="11"/>
    </row>
    <row r="265" ht="15.75" customHeight="1">
      <c r="A265" s="11"/>
      <c r="B265" s="19"/>
      <c r="C265" s="11"/>
      <c r="D265" s="11"/>
    </row>
    <row r="266" ht="15.75" customHeight="1">
      <c r="A266" s="11"/>
      <c r="B266" s="19"/>
      <c r="C266" s="11"/>
      <c r="D266" s="11"/>
    </row>
    <row r="267" ht="15.75" customHeight="1">
      <c r="A267" s="11"/>
      <c r="B267" s="19"/>
      <c r="C267" s="11"/>
      <c r="D267" s="11"/>
    </row>
    <row r="268" ht="15.75" customHeight="1">
      <c r="A268" s="11"/>
      <c r="B268" s="19"/>
      <c r="C268" s="11"/>
      <c r="D268" s="11"/>
    </row>
    <row r="269" ht="15.75" customHeight="1">
      <c r="A269" s="11"/>
      <c r="B269" s="19"/>
      <c r="C269" s="11"/>
      <c r="D269" s="11"/>
    </row>
    <row r="270" ht="15.75" customHeight="1">
      <c r="A270" s="11"/>
      <c r="B270" s="19"/>
      <c r="C270" s="11"/>
      <c r="D270" s="11"/>
    </row>
    <row r="271" ht="15.75" customHeight="1">
      <c r="A271" s="11"/>
      <c r="B271" s="19"/>
      <c r="C271" s="11"/>
      <c r="D271" s="11"/>
    </row>
    <row r="272" ht="15.75" customHeight="1">
      <c r="A272" s="11"/>
      <c r="B272" s="19"/>
      <c r="C272" s="11"/>
      <c r="D272" s="11"/>
    </row>
    <row r="273" ht="15.75" customHeight="1">
      <c r="A273" s="11"/>
      <c r="B273" s="19"/>
      <c r="C273" s="11"/>
      <c r="D273" s="11"/>
    </row>
    <row r="274" ht="15.75" customHeight="1">
      <c r="A274" s="11"/>
      <c r="B274" s="19"/>
      <c r="C274" s="11"/>
      <c r="D274" s="11"/>
    </row>
    <row r="275" ht="15.75" customHeight="1">
      <c r="A275" s="11"/>
      <c r="B275" s="19"/>
      <c r="C275" s="11"/>
      <c r="D275" s="11"/>
    </row>
    <row r="276" ht="15.75" customHeight="1">
      <c r="A276" s="11"/>
      <c r="B276" s="19"/>
      <c r="C276" s="11"/>
      <c r="D276" s="11"/>
    </row>
    <row r="277" ht="15.75" customHeight="1">
      <c r="A277" s="11"/>
      <c r="B277" s="19"/>
      <c r="C277" s="11"/>
      <c r="D277" s="11"/>
    </row>
    <row r="278" ht="15.75" customHeight="1">
      <c r="A278" s="11"/>
      <c r="B278" s="19"/>
      <c r="C278" s="11"/>
      <c r="D278" s="11"/>
    </row>
    <row r="279" ht="15.75" customHeight="1">
      <c r="A279" s="11"/>
      <c r="B279" s="19"/>
      <c r="C279" s="11"/>
      <c r="D279" s="11"/>
    </row>
    <row r="280" ht="15.75" customHeight="1">
      <c r="A280" s="11"/>
      <c r="B280" s="19"/>
      <c r="C280" s="11"/>
      <c r="D280" s="11"/>
    </row>
    <row r="281" ht="15.75" customHeight="1">
      <c r="A281" s="11"/>
      <c r="B281" s="19"/>
      <c r="C281" s="11"/>
      <c r="D281" s="11"/>
    </row>
    <row r="282" ht="15.75" customHeight="1">
      <c r="A282" s="11"/>
      <c r="B282" s="19"/>
      <c r="C282" s="11"/>
      <c r="D282" s="11"/>
    </row>
    <row r="283" ht="15.75" customHeight="1">
      <c r="A283" s="11"/>
      <c r="B283" s="19"/>
      <c r="C283" s="11"/>
      <c r="D283" s="11"/>
    </row>
    <row r="284" ht="15.75" customHeight="1">
      <c r="A284" s="11"/>
      <c r="B284" s="19"/>
      <c r="C284" s="11"/>
      <c r="D284" s="11"/>
    </row>
    <row r="285" ht="15.75" customHeight="1">
      <c r="A285" s="11"/>
      <c r="B285" s="19"/>
      <c r="C285" s="11"/>
      <c r="D285" s="11"/>
    </row>
    <row r="286" ht="15.75" customHeight="1">
      <c r="A286" s="11"/>
      <c r="B286" s="19"/>
      <c r="C286" s="11"/>
      <c r="D286" s="11"/>
    </row>
    <row r="287" ht="15.75" customHeight="1">
      <c r="A287" s="11"/>
      <c r="B287" s="19"/>
      <c r="C287" s="11"/>
      <c r="D287" s="11"/>
    </row>
    <row r="288" ht="15.75" customHeight="1">
      <c r="A288" s="11"/>
      <c r="B288" s="19"/>
      <c r="C288" s="11"/>
      <c r="D288" s="11"/>
    </row>
    <row r="289" ht="15.75" customHeight="1">
      <c r="A289" s="11"/>
      <c r="B289" s="19"/>
      <c r="C289" s="11"/>
      <c r="D289" s="11"/>
    </row>
    <row r="290" ht="15.75" customHeight="1">
      <c r="A290" s="11"/>
      <c r="B290" s="19"/>
      <c r="C290" s="11"/>
      <c r="D290" s="11"/>
    </row>
    <row r="291" ht="15.75" customHeight="1">
      <c r="A291" s="11"/>
      <c r="B291" s="19"/>
      <c r="C291" s="11"/>
      <c r="D291" s="11"/>
    </row>
    <row r="292" ht="15.75" customHeight="1">
      <c r="A292" s="11"/>
      <c r="B292" s="19"/>
      <c r="C292" s="11"/>
      <c r="D292" s="11"/>
    </row>
    <row r="293" ht="15.75" customHeight="1">
      <c r="A293" s="11"/>
      <c r="B293" s="19"/>
      <c r="C293" s="11"/>
      <c r="D293" s="11"/>
    </row>
    <row r="294" ht="15.75" customHeight="1">
      <c r="A294" s="11"/>
      <c r="B294" s="19"/>
      <c r="C294" s="11"/>
      <c r="D294" s="11"/>
    </row>
    <row r="295" ht="15.75" customHeight="1">
      <c r="A295" s="11"/>
      <c r="B295" s="19"/>
      <c r="C295" s="11"/>
      <c r="D295" s="11"/>
    </row>
    <row r="296" ht="15.75" customHeight="1">
      <c r="A296" s="11"/>
      <c r="B296" s="19"/>
      <c r="C296" s="11"/>
      <c r="D296" s="11"/>
    </row>
    <row r="297" ht="15.75" customHeight="1">
      <c r="A297" s="11"/>
      <c r="B297" s="19"/>
      <c r="C297" s="11"/>
      <c r="D297" s="11"/>
    </row>
    <row r="298" ht="15.75" customHeight="1">
      <c r="A298" s="11"/>
      <c r="B298" s="19"/>
      <c r="C298" s="11"/>
      <c r="D298" s="11"/>
    </row>
    <row r="299" ht="15.75" customHeight="1">
      <c r="A299" s="11"/>
      <c r="B299" s="19"/>
      <c r="C299" s="11"/>
      <c r="D299" s="11"/>
    </row>
    <row r="300" ht="15.75" customHeight="1">
      <c r="A300" s="11"/>
      <c r="B300" s="19"/>
      <c r="C300" s="11"/>
      <c r="D300" s="11"/>
    </row>
    <row r="301" ht="15.75" customHeight="1">
      <c r="A301" s="11"/>
      <c r="B301" s="19"/>
      <c r="C301" s="11"/>
      <c r="D301" s="11"/>
    </row>
    <row r="302" ht="15.75" customHeight="1">
      <c r="A302" s="11"/>
      <c r="B302" s="19"/>
      <c r="C302" s="11"/>
      <c r="D302" s="11"/>
    </row>
    <row r="303" ht="15.75" customHeight="1">
      <c r="A303" s="11"/>
      <c r="B303" s="19"/>
      <c r="C303" s="11"/>
      <c r="D303" s="11"/>
    </row>
    <row r="304" ht="15.75" customHeight="1">
      <c r="A304" s="11"/>
      <c r="B304" s="19"/>
      <c r="C304" s="11"/>
      <c r="D304" s="11"/>
    </row>
    <row r="305" ht="15.75" customHeight="1">
      <c r="A305" s="11"/>
      <c r="B305" s="19"/>
      <c r="C305" s="11"/>
      <c r="D305" s="11"/>
    </row>
    <row r="306" ht="15.75" customHeight="1">
      <c r="A306" s="11"/>
      <c r="B306" s="19"/>
      <c r="C306" s="11"/>
      <c r="D306" s="11"/>
    </row>
    <row r="307" ht="15.75" customHeight="1">
      <c r="A307" s="11"/>
      <c r="B307" s="19"/>
      <c r="C307" s="11"/>
      <c r="D307" s="11"/>
    </row>
    <row r="308" ht="15.75" customHeight="1">
      <c r="A308" s="11"/>
      <c r="B308" s="19"/>
      <c r="C308" s="11"/>
      <c r="D308" s="11"/>
    </row>
    <row r="309" ht="15.75" customHeight="1">
      <c r="A309" s="11"/>
      <c r="B309" s="19"/>
      <c r="C309" s="11"/>
      <c r="D309" s="11"/>
    </row>
    <row r="310" ht="15.75" customHeight="1">
      <c r="A310" s="11"/>
      <c r="B310" s="19"/>
      <c r="C310" s="11"/>
      <c r="D310" s="11"/>
    </row>
    <row r="311" ht="15.75" customHeight="1">
      <c r="A311" s="11"/>
      <c r="B311" s="19"/>
      <c r="C311" s="11"/>
      <c r="D311" s="11"/>
    </row>
    <row r="312" ht="15.75" customHeight="1">
      <c r="A312" s="11"/>
      <c r="B312" s="19"/>
      <c r="C312" s="11"/>
      <c r="D312" s="11"/>
    </row>
    <row r="313" ht="15.75" customHeight="1">
      <c r="A313" s="11"/>
      <c r="B313" s="19"/>
      <c r="C313" s="11"/>
      <c r="D313" s="11"/>
    </row>
    <row r="314" ht="15.75" customHeight="1">
      <c r="A314" s="11"/>
      <c r="B314" s="19"/>
      <c r="C314" s="11"/>
      <c r="D314" s="11"/>
    </row>
    <row r="315" ht="15.75" customHeight="1">
      <c r="A315" s="11"/>
      <c r="B315" s="19"/>
      <c r="C315" s="11"/>
      <c r="D315" s="11"/>
    </row>
    <row r="316" ht="15.75" customHeight="1">
      <c r="A316" s="11"/>
      <c r="B316" s="19"/>
      <c r="C316" s="11"/>
      <c r="D316" s="11"/>
    </row>
    <row r="317" ht="15.75" customHeight="1">
      <c r="A317" s="11"/>
      <c r="B317" s="19"/>
      <c r="C317" s="11"/>
      <c r="D317" s="11"/>
    </row>
    <row r="318" ht="15.75" customHeight="1">
      <c r="A318" s="11"/>
      <c r="B318" s="19"/>
      <c r="C318" s="11"/>
      <c r="D318" s="11"/>
    </row>
    <row r="319" ht="15.75" customHeight="1">
      <c r="A319" s="11"/>
      <c r="B319" s="19"/>
      <c r="C319" s="11"/>
      <c r="D319" s="11"/>
    </row>
    <row r="320" ht="15.75" customHeight="1">
      <c r="A320" s="11"/>
      <c r="B320" s="19"/>
      <c r="C320" s="11"/>
      <c r="D320" s="11"/>
    </row>
    <row r="321" ht="15.75" customHeight="1">
      <c r="A321" s="11"/>
      <c r="B321" s="19"/>
      <c r="C321" s="11"/>
      <c r="D321" s="11"/>
    </row>
    <row r="322" ht="15.75" customHeight="1">
      <c r="A322" s="11"/>
      <c r="B322" s="19"/>
      <c r="C322" s="11"/>
      <c r="D322" s="11"/>
    </row>
    <row r="323" ht="15.75" customHeight="1">
      <c r="A323" s="11"/>
      <c r="B323" s="19"/>
      <c r="C323" s="11"/>
      <c r="D323" s="11"/>
    </row>
    <row r="324" ht="15.75" customHeight="1">
      <c r="A324" s="11"/>
      <c r="B324" s="19"/>
      <c r="C324" s="11"/>
      <c r="D324" s="11"/>
    </row>
    <row r="325" ht="15.75" customHeight="1">
      <c r="A325" s="11"/>
      <c r="B325" s="19"/>
      <c r="C325" s="11"/>
      <c r="D325" s="11"/>
    </row>
    <row r="326" ht="15.75" customHeight="1">
      <c r="A326" s="11"/>
      <c r="B326" s="19"/>
      <c r="C326" s="11"/>
      <c r="D326" s="11"/>
    </row>
    <row r="327" ht="15.75" customHeight="1">
      <c r="A327" s="11"/>
      <c r="B327" s="19"/>
      <c r="C327" s="11"/>
      <c r="D327" s="11"/>
    </row>
    <row r="328" ht="15.75" customHeight="1">
      <c r="A328" s="11"/>
      <c r="B328" s="19"/>
      <c r="C328" s="11"/>
      <c r="D328" s="11"/>
    </row>
    <row r="329" ht="15.75" customHeight="1">
      <c r="A329" s="11"/>
      <c r="B329" s="19"/>
      <c r="C329" s="11"/>
      <c r="D329" s="11"/>
    </row>
    <row r="330" ht="15.75" customHeight="1">
      <c r="A330" s="11"/>
      <c r="B330" s="19"/>
      <c r="C330" s="11"/>
      <c r="D330" s="11"/>
    </row>
    <row r="331" ht="15.75" customHeight="1">
      <c r="A331" s="11"/>
      <c r="B331" s="19"/>
      <c r="C331" s="11"/>
      <c r="D331" s="11"/>
    </row>
    <row r="332" ht="15.75" customHeight="1">
      <c r="A332" s="11"/>
      <c r="B332" s="19"/>
      <c r="C332" s="11"/>
      <c r="D332" s="11"/>
    </row>
    <row r="333" ht="15.75" customHeight="1">
      <c r="A333" s="11"/>
      <c r="B333" s="19"/>
      <c r="C333" s="11"/>
      <c r="D333" s="11"/>
    </row>
    <row r="334" ht="15.75" customHeight="1">
      <c r="A334" s="11"/>
      <c r="B334" s="19"/>
      <c r="C334" s="11"/>
      <c r="D334" s="11"/>
    </row>
    <row r="335" ht="15.75" customHeight="1">
      <c r="A335" s="11"/>
      <c r="B335" s="19"/>
      <c r="C335" s="11"/>
      <c r="D335" s="11"/>
    </row>
    <row r="336" ht="15.75" customHeight="1">
      <c r="A336" s="11"/>
      <c r="B336" s="19"/>
      <c r="C336" s="11"/>
      <c r="D336" s="11"/>
    </row>
    <row r="337" ht="15.75" customHeight="1">
      <c r="A337" s="11"/>
      <c r="B337" s="19"/>
      <c r="C337" s="11"/>
      <c r="D337" s="11"/>
    </row>
    <row r="338" ht="15.75" customHeight="1">
      <c r="A338" s="11"/>
      <c r="B338" s="19"/>
      <c r="C338" s="11"/>
      <c r="D338" s="11"/>
    </row>
    <row r="339" ht="15.75" customHeight="1">
      <c r="A339" s="11"/>
      <c r="B339" s="19"/>
      <c r="C339" s="11"/>
      <c r="D339" s="11"/>
    </row>
    <row r="340" ht="15.75" customHeight="1">
      <c r="A340" s="11"/>
      <c r="B340" s="19"/>
      <c r="C340" s="11"/>
      <c r="D340" s="11"/>
    </row>
    <row r="341" ht="15.75" customHeight="1">
      <c r="A341" s="11"/>
      <c r="B341" s="19"/>
      <c r="C341" s="11"/>
      <c r="D341" s="11"/>
    </row>
    <row r="342" ht="15.75" customHeight="1">
      <c r="A342" s="11"/>
      <c r="B342" s="19"/>
      <c r="C342" s="11"/>
      <c r="D342" s="11"/>
    </row>
    <row r="343" ht="15.75" customHeight="1">
      <c r="A343" s="11"/>
      <c r="B343" s="19"/>
      <c r="C343" s="11"/>
      <c r="D343" s="11"/>
    </row>
    <row r="344" ht="15.75" customHeight="1">
      <c r="A344" s="11"/>
      <c r="B344" s="19"/>
      <c r="C344" s="11"/>
      <c r="D344" s="11"/>
    </row>
    <row r="345" ht="15.75" customHeight="1">
      <c r="A345" s="11"/>
      <c r="B345" s="19"/>
      <c r="C345" s="11"/>
      <c r="D345" s="11"/>
    </row>
    <row r="346" ht="15.75" customHeight="1">
      <c r="A346" s="11"/>
      <c r="B346" s="19"/>
      <c r="C346" s="11"/>
      <c r="D346" s="11"/>
    </row>
    <row r="347" ht="15.75" customHeight="1">
      <c r="A347" s="11"/>
      <c r="B347" s="19"/>
      <c r="C347" s="11"/>
      <c r="D347" s="11"/>
    </row>
    <row r="348" ht="15.75" customHeight="1">
      <c r="A348" s="11"/>
      <c r="B348" s="19"/>
      <c r="C348" s="11"/>
      <c r="D348" s="11"/>
    </row>
    <row r="349" ht="15.75" customHeight="1">
      <c r="A349" s="11"/>
      <c r="B349" s="19"/>
      <c r="C349" s="11"/>
      <c r="D349" s="11"/>
    </row>
    <row r="350" ht="15.75" customHeight="1">
      <c r="A350" s="11"/>
      <c r="B350" s="19"/>
      <c r="C350" s="11"/>
      <c r="D350" s="11"/>
    </row>
    <row r="351" ht="15.75" customHeight="1">
      <c r="A351" s="11"/>
      <c r="B351" s="19"/>
      <c r="C351" s="11"/>
      <c r="D351" s="11"/>
    </row>
    <row r="352" ht="15.75" customHeight="1">
      <c r="A352" s="11"/>
      <c r="B352" s="19"/>
      <c r="C352" s="11"/>
      <c r="D352" s="11"/>
    </row>
    <row r="353" ht="15.75" customHeight="1">
      <c r="A353" s="11"/>
      <c r="B353" s="19"/>
      <c r="C353" s="11"/>
      <c r="D353" s="11"/>
    </row>
    <row r="354" ht="15.75" customHeight="1">
      <c r="A354" s="11"/>
      <c r="B354" s="19"/>
      <c r="C354" s="11"/>
      <c r="D354" s="11"/>
    </row>
    <row r="355" ht="15.75" customHeight="1">
      <c r="A355" s="11"/>
      <c r="B355" s="19"/>
      <c r="C355" s="11"/>
      <c r="D355" s="11"/>
    </row>
    <row r="356" ht="15.75" customHeight="1">
      <c r="A356" s="11"/>
      <c r="B356" s="19"/>
      <c r="C356" s="11"/>
      <c r="D356" s="11"/>
    </row>
    <row r="357" ht="15.75" customHeight="1">
      <c r="A357" s="11"/>
      <c r="B357" s="19"/>
      <c r="C357" s="11"/>
      <c r="D357" s="11"/>
    </row>
    <row r="358" ht="15.75" customHeight="1">
      <c r="A358" s="11"/>
      <c r="B358" s="19"/>
      <c r="C358" s="11"/>
      <c r="D358" s="11"/>
    </row>
    <row r="359" ht="15.75" customHeight="1">
      <c r="A359" s="11"/>
      <c r="B359" s="19"/>
      <c r="C359" s="11"/>
      <c r="D359" s="11"/>
    </row>
    <row r="360" ht="15.75" customHeight="1">
      <c r="A360" s="11"/>
      <c r="B360" s="19"/>
      <c r="C360" s="11"/>
      <c r="D360" s="11"/>
    </row>
    <row r="361" ht="15.75" customHeight="1">
      <c r="A361" s="11"/>
      <c r="B361" s="19"/>
      <c r="C361" s="11"/>
      <c r="D361" s="11"/>
    </row>
    <row r="362" ht="15.75" customHeight="1">
      <c r="A362" s="11"/>
      <c r="B362" s="19"/>
      <c r="C362" s="11"/>
      <c r="D362" s="11"/>
    </row>
    <row r="363" ht="15.75" customHeight="1">
      <c r="A363" s="11"/>
      <c r="B363" s="19"/>
      <c r="C363" s="11"/>
      <c r="D363" s="11"/>
    </row>
    <row r="364" ht="15.75" customHeight="1">
      <c r="A364" s="11"/>
      <c r="B364" s="19"/>
      <c r="C364" s="11"/>
      <c r="D364" s="11"/>
    </row>
    <row r="365" ht="15.75" customHeight="1">
      <c r="A365" s="11"/>
      <c r="B365" s="19"/>
      <c r="C365" s="11"/>
      <c r="D365" s="11"/>
    </row>
    <row r="366" ht="15.75" customHeight="1">
      <c r="A366" s="11"/>
      <c r="B366" s="19"/>
      <c r="C366" s="11"/>
      <c r="D366" s="11"/>
    </row>
    <row r="367" ht="15.75" customHeight="1">
      <c r="A367" s="11"/>
      <c r="B367" s="19"/>
      <c r="C367" s="11"/>
      <c r="D367" s="11"/>
    </row>
    <row r="368" ht="15.75" customHeight="1">
      <c r="A368" s="11"/>
      <c r="B368" s="19"/>
      <c r="C368" s="11"/>
      <c r="D368" s="11"/>
    </row>
    <row r="369" ht="15.75" customHeight="1">
      <c r="A369" s="11"/>
      <c r="B369" s="19"/>
      <c r="C369" s="11"/>
      <c r="D369" s="11"/>
    </row>
    <row r="370" ht="15.75" customHeight="1">
      <c r="A370" s="11"/>
      <c r="B370" s="19"/>
      <c r="C370" s="11"/>
      <c r="D370" s="11"/>
    </row>
    <row r="371" ht="15.75" customHeight="1">
      <c r="A371" s="11"/>
      <c r="B371" s="19"/>
      <c r="C371" s="11"/>
      <c r="D371" s="11"/>
    </row>
    <row r="372" ht="15.75" customHeight="1">
      <c r="A372" s="11"/>
      <c r="B372" s="19"/>
      <c r="C372" s="11"/>
      <c r="D372" s="11"/>
    </row>
    <row r="373" ht="15.75" customHeight="1">
      <c r="A373" s="11"/>
      <c r="B373" s="19"/>
      <c r="C373" s="11"/>
      <c r="D373" s="11"/>
    </row>
    <row r="374" ht="15.75" customHeight="1">
      <c r="A374" s="11"/>
      <c r="B374" s="19"/>
      <c r="C374" s="11"/>
      <c r="D374" s="11"/>
    </row>
    <row r="375" ht="15.75" customHeight="1">
      <c r="A375" s="11"/>
      <c r="B375" s="19"/>
      <c r="C375" s="11"/>
      <c r="D375" s="11"/>
    </row>
    <row r="376" ht="15.75" customHeight="1">
      <c r="A376" s="11"/>
      <c r="B376" s="19"/>
      <c r="C376" s="11"/>
      <c r="D376" s="11"/>
    </row>
    <row r="377" ht="15.75" customHeight="1">
      <c r="A377" s="11"/>
      <c r="B377" s="19"/>
      <c r="C377" s="11"/>
      <c r="D377" s="11"/>
    </row>
    <row r="378" ht="15.75" customHeight="1">
      <c r="A378" s="11"/>
      <c r="B378" s="19"/>
      <c r="C378" s="11"/>
      <c r="D378" s="11"/>
    </row>
    <row r="379" ht="15.75" customHeight="1">
      <c r="A379" s="11"/>
      <c r="B379" s="19"/>
      <c r="C379" s="11"/>
      <c r="D379" s="11"/>
    </row>
    <row r="380" ht="15.75" customHeight="1">
      <c r="A380" s="11"/>
      <c r="B380" s="19"/>
      <c r="C380" s="11"/>
      <c r="D380" s="11"/>
    </row>
    <row r="381" ht="15.75" customHeight="1">
      <c r="A381" s="11"/>
      <c r="B381" s="19"/>
      <c r="C381" s="11"/>
      <c r="D381" s="11"/>
    </row>
    <row r="382" ht="15.75" customHeight="1">
      <c r="A382" s="11"/>
      <c r="B382" s="19"/>
      <c r="C382" s="11"/>
      <c r="D382" s="11"/>
    </row>
    <row r="383" ht="15.75" customHeight="1">
      <c r="A383" s="11"/>
      <c r="B383" s="19"/>
      <c r="C383" s="11"/>
      <c r="D383" s="11"/>
    </row>
    <row r="384" ht="15.75" customHeight="1">
      <c r="A384" s="11"/>
      <c r="B384" s="19"/>
      <c r="C384" s="11"/>
      <c r="D384" s="11"/>
    </row>
    <row r="385" ht="15.75" customHeight="1">
      <c r="A385" s="11"/>
      <c r="B385" s="19"/>
      <c r="C385" s="11"/>
      <c r="D385" s="11"/>
    </row>
    <row r="386" ht="15.75" customHeight="1">
      <c r="A386" s="11"/>
      <c r="B386" s="19"/>
      <c r="C386" s="11"/>
      <c r="D386" s="11"/>
    </row>
    <row r="387" ht="15.75" customHeight="1">
      <c r="A387" s="11"/>
      <c r="B387" s="19"/>
      <c r="C387" s="11"/>
      <c r="D387" s="11"/>
    </row>
    <row r="388" ht="15.75" customHeight="1">
      <c r="A388" s="11"/>
      <c r="B388" s="19"/>
      <c r="C388" s="11"/>
      <c r="D388" s="11"/>
    </row>
    <row r="389" ht="15.75" customHeight="1">
      <c r="A389" s="11"/>
      <c r="B389" s="19"/>
      <c r="C389" s="11"/>
      <c r="D389" s="11"/>
    </row>
    <row r="390" ht="15.75" customHeight="1">
      <c r="A390" s="11"/>
      <c r="B390" s="19"/>
      <c r="C390" s="11"/>
      <c r="D390" s="11"/>
    </row>
    <row r="391" ht="15.75" customHeight="1">
      <c r="A391" s="11"/>
      <c r="B391" s="19"/>
      <c r="C391" s="11"/>
      <c r="D391" s="11"/>
    </row>
    <row r="392" ht="15.75" customHeight="1">
      <c r="A392" s="11"/>
      <c r="B392" s="19"/>
      <c r="C392" s="11"/>
      <c r="D392" s="11"/>
    </row>
    <row r="393" ht="15.75" customHeight="1">
      <c r="A393" s="11"/>
      <c r="B393" s="19"/>
      <c r="C393" s="11"/>
      <c r="D393" s="11"/>
    </row>
    <row r="394" ht="15.75" customHeight="1">
      <c r="A394" s="11"/>
      <c r="B394" s="19"/>
      <c r="C394" s="11"/>
      <c r="D394" s="11"/>
    </row>
    <row r="395" ht="15.75" customHeight="1">
      <c r="A395" s="11"/>
      <c r="B395" s="19"/>
      <c r="C395" s="11"/>
      <c r="D395" s="11"/>
    </row>
    <row r="396" ht="15.75" customHeight="1">
      <c r="A396" s="11"/>
      <c r="B396" s="19"/>
      <c r="C396" s="11"/>
      <c r="D396" s="11"/>
    </row>
    <row r="397" ht="15.75" customHeight="1">
      <c r="A397" s="11"/>
      <c r="B397" s="19"/>
      <c r="C397" s="11"/>
      <c r="D397" s="11"/>
    </row>
    <row r="398" ht="15.75" customHeight="1">
      <c r="A398" s="11"/>
      <c r="B398" s="19"/>
      <c r="C398" s="11"/>
      <c r="D398" s="11"/>
    </row>
    <row r="399" ht="15.75" customHeight="1">
      <c r="A399" s="11"/>
      <c r="B399" s="19"/>
      <c r="C399" s="11"/>
      <c r="D399" s="11"/>
    </row>
    <row r="400" ht="15.75" customHeight="1">
      <c r="A400" s="11"/>
      <c r="B400" s="19"/>
      <c r="C400" s="11"/>
      <c r="D400" s="11"/>
    </row>
    <row r="401" ht="15.75" customHeight="1">
      <c r="A401" s="11"/>
      <c r="B401" s="19"/>
      <c r="C401" s="11"/>
      <c r="D401" s="11"/>
    </row>
    <row r="402" ht="15.75" customHeight="1">
      <c r="A402" s="11"/>
      <c r="B402" s="19"/>
      <c r="C402" s="11"/>
      <c r="D402" s="11"/>
    </row>
    <row r="403" ht="15.75" customHeight="1">
      <c r="A403" s="11"/>
      <c r="B403" s="19"/>
      <c r="C403" s="11"/>
      <c r="D403" s="11"/>
    </row>
    <row r="404" ht="15.75" customHeight="1">
      <c r="A404" s="11"/>
      <c r="B404" s="19"/>
      <c r="C404" s="11"/>
      <c r="D404" s="11"/>
    </row>
    <row r="405" ht="15.75" customHeight="1">
      <c r="A405" s="11"/>
      <c r="B405" s="19"/>
      <c r="C405" s="11"/>
      <c r="D405" s="11"/>
    </row>
    <row r="406" ht="15.75" customHeight="1">
      <c r="A406" s="11"/>
      <c r="B406" s="19"/>
      <c r="C406" s="11"/>
      <c r="D406" s="11"/>
    </row>
    <row r="407" ht="15.75" customHeight="1">
      <c r="A407" s="11"/>
      <c r="B407" s="19"/>
      <c r="C407" s="11"/>
      <c r="D407" s="11"/>
    </row>
    <row r="408" ht="15.75" customHeight="1">
      <c r="A408" s="11"/>
      <c r="B408" s="19"/>
      <c r="C408" s="11"/>
      <c r="D408" s="11"/>
    </row>
    <row r="409" ht="15.75" customHeight="1">
      <c r="A409" s="11"/>
      <c r="B409" s="19"/>
      <c r="C409" s="11"/>
      <c r="D409" s="11"/>
    </row>
    <row r="410" ht="15.75" customHeight="1">
      <c r="A410" s="11"/>
      <c r="B410" s="19"/>
      <c r="C410" s="11"/>
      <c r="D410" s="11"/>
    </row>
    <row r="411" ht="15.75" customHeight="1">
      <c r="A411" s="11"/>
      <c r="B411" s="19"/>
      <c r="C411" s="11"/>
      <c r="D411" s="11"/>
    </row>
    <row r="412" ht="15.75" customHeight="1">
      <c r="A412" s="11"/>
      <c r="B412" s="19"/>
      <c r="C412" s="11"/>
      <c r="D412" s="11"/>
    </row>
    <row r="413" ht="15.75" customHeight="1">
      <c r="A413" s="11"/>
      <c r="B413" s="19"/>
      <c r="C413" s="11"/>
      <c r="D413" s="11"/>
    </row>
    <row r="414" ht="15.75" customHeight="1">
      <c r="A414" s="11"/>
      <c r="B414" s="19"/>
      <c r="C414" s="11"/>
      <c r="D414" s="11"/>
    </row>
    <row r="415" ht="15.75" customHeight="1">
      <c r="A415" s="11"/>
      <c r="B415" s="19"/>
      <c r="C415" s="11"/>
      <c r="D415" s="11"/>
    </row>
    <row r="416" ht="15.75" customHeight="1">
      <c r="A416" s="11"/>
      <c r="B416" s="19"/>
      <c r="C416" s="11"/>
      <c r="D416" s="11"/>
    </row>
    <row r="417" ht="15.75" customHeight="1">
      <c r="A417" s="11"/>
      <c r="B417" s="19"/>
      <c r="C417" s="11"/>
      <c r="D417" s="11"/>
    </row>
    <row r="418" ht="15.75" customHeight="1">
      <c r="A418" s="11"/>
      <c r="B418" s="19"/>
      <c r="C418" s="11"/>
      <c r="D418" s="11"/>
    </row>
    <row r="419" ht="15.75" customHeight="1">
      <c r="A419" s="11"/>
      <c r="B419" s="19"/>
      <c r="C419" s="11"/>
      <c r="D419" s="11"/>
    </row>
    <row r="420" ht="15.75" customHeight="1">
      <c r="A420" s="11"/>
      <c r="B420" s="19"/>
      <c r="C420" s="11"/>
      <c r="D420" s="11"/>
    </row>
    <row r="421" ht="15.75" customHeight="1">
      <c r="A421" s="11"/>
      <c r="B421" s="19"/>
      <c r="C421" s="11"/>
      <c r="D421" s="11"/>
    </row>
    <row r="422" ht="15.75" customHeight="1">
      <c r="A422" s="11"/>
      <c r="B422" s="19"/>
      <c r="C422" s="11"/>
      <c r="D422" s="11"/>
    </row>
    <row r="423" ht="15.75" customHeight="1">
      <c r="A423" s="11"/>
      <c r="B423" s="19"/>
      <c r="C423" s="11"/>
      <c r="D423" s="11"/>
    </row>
    <row r="424" ht="15.75" customHeight="1">
      <c r="A424" s="11"/>
      <c r="B424" s="19"/>
      <c r="C424" s="11"/>
      <c r="D424" s="11"/>
    </row>
    <row r="425" ht="15.75" customHeight="1">
      <c r="A425" s="11"/>
      <c r="B425" s="19"/>
      <c r="C425" s="11"/>
      <c r="D425" s="11"/>
    </row>
    <row r="426" ht="15.75" customHeight="1">
      <c r="A426" s="11"/>
      <c r="B426" s="19"/>
      <c r="C426" s="11"/>
      <c r="D426" s="11"/>
    </row>
    <row r="427" ht="15.75" customHeight="1">
      <c r="A427" s="11"/>
      <c r="B427" s="19"/>
      <c r="C427" s="11"/>
      <c r="D427" s="11"/>
    </row>
    <row r="428" ht="15.75" customHeight="1">
      <c r="A428" s="11"/>
      <c r="B428" s="19"/>
      <c r="C428" s="11"/>
      <c r="D428" s="11"/>
    </row>
    <row r="429" ht="15.75" customHeight="1">
      <c r="A429" s="11"/>
      <c r="B429" s="19"/>
      <c r="C429" s="11"/>
      <c r="D429" s="11"/>
    </row>
    <row r="430" ht="15.75" customHeight="1">
      <c r="A430" s="11"/>
      <c r="B430" s="19"/>
      <c r="C430" s="11"/>
      <c r="D430" s="11"/>
    </row>
    <row r="431" ht="15.75" customHeight="1">
      <c r="A431" s="11"/>
      <c r="B431" s="19"/>
      <c r="C431" s="11"/>
      <c r="D431" s="11"/>
    </row>
    <row r="432" ht="15.75" customHeight="1">
      <c r="A432" s="11"/>
      <c r="B432" s="19"/>
      <c r="C432" s="11"/>
      <c r="D432" s="11"/>
    </row>
    <row r="433" ht="15.75" customHeight="1">
      <c r="A433" s="11"/>
      <c r="B433" s="19"/>
      <c r="C433" s="11"/>
      <c r="D433" s="11"/>
    </row>
    <row r="434" ht="15.75" customHeight="1">
      <c r="A434" s="11"/>
      <c r="B434" s="19"/>
      <c r="C434" s="11"/>
      <c r="D434" s="11"/>
    </row>
    <row r="435" ht="15.75" customHeight="1">
      <c r="A435" s="11"/>
      <c r="B435" s="19"/>
      <c r="C435" s="11"/>
      <c r="D435" s="11"/>
    </row>
    <row r="436" ht="15.75" customHeight="1">
      <c r="A436" s="11"/>
      <c r="B436" s="19"/>
      <c r="C436" s="11"/>
      <c r="D436" s="11"/>
    </row>
    <row r="437" ht="15.75" customHeight="1">
      <c r="A437" s="11"/>
      <c r="B437" s="19"/>
      <c r="C437" s="11"/>
      <c r="D437" s="11"/>
    </row>
    <row r="438" ht="15.75" customHeight="1">
      <c r="A438" s="11"/>
      <c r="B438" s="19"/>
      <c r="C438" s="11"/>
      <c r="D438" s="11"/>
    </row>
    <row r="439" ht="15.75" customHeight="1">
      <c r="A439" s="11"/>
      <c r="B439" s="19"/>
      <c r="C439" s="11"/>
      <c r="D439" s="11"/>
    </row>
    <row r="440" ht="15.75" customHeight="1">
      <c r="A440" s="11"/>
      <c r="B440" s="19"/>
      <c r="C440" s="11"/>
      <c r="D440" s="11"/>
    </row>
    <row r="441" ht="15.75" customHeight="1">
      <c r="A441" s="11"/>
      <c r="B441" s="19"/>
      <c r="C441" s="11"/>
      <c r="D441" s="11"/>
    </row>
    <row r="442" ht="15.75" customHeight="1">
      <c r="A442" s="11"/>
      <c r="B442" s="19"/>
      <c r="C442" s="11"/>
      <c r="D442" s="11"/>
    </row>
    <row r="443" ht="15.75" customHeight="1">
      <c r="A443" s="11"/>
      <c r="B443" s="19"/>
      <c r="C443" s="11"/>
      <c r="D443" s="11"/>
    </row>
    <row r="444" ht="15.75" customHeight="1">
      <c r="A444" s="11"/>
      <c r="B444" s="19"/>
      <c r="C444" s="11"/>
      <c r="D444" s="11"/>
    </row>
    <row r="445" ht="15.75" customHeight="1">
      <c r="A445" s="11"/>
      <c r="B445" s="19"/>
      <c r="C445" s="11"/>
      <c r="D445" s="11"/>
    </row>
    <row r="446" ht="15.75" customHeight="1">
      <c r="A446" s="11"/>
      <c r="B446" s="19"/>
      <c r="C446" s="11"/>
      <c r="D446" s="11"/>
    </row>
    <row r="447" ht="15.75" customHeight="1">
      <c r="A447" s="11"/>
      <c r="B447" s="19"/>
      <c r="C447" s="11"/>
      <c r="D447" s="11"/>
    </row>
    <row r="448" ht="15.75" customHeight="1">
      <c r="A448" s="11"/>
      <c r="B448" s="19"/>
      <c r="C448" s="11"/>
      <c r="D448" s="11"/>
    </row>
    <row r="449" ht="15.75" customHeight="1">
      <c r="A449" s="11"/>
      <c r="B449" s="19"/>
      <c r="C449" s="11"/>
      <c r="D449" s="11"/>
    </row>
    <row r="450" ht="15.75" customHeight="1">
      <c r="A450" s="11"/>
      <c r="B450" s="19"/>
      <c r="C450" s="11"/>
      <c r="D450" s="11"/>
    </row>
    <row r="451" ht="15.75" customHeight="1">
      <c r="A451" s="11"/>
      <c r="B451" s="19"/>
      <c r="C451" s="11"/>
      <c r="D451" s="11"/>
    </row>
    <row r="452" ht="15.75" customHeight="1">
      <c r="A452" s="11"/>
      <c r="B452" s="19"/>
      <c r="C452" s="11"/>
      <c r="D452" s="11"/>
    </row>
    <row r="453" ht="15.75" customHeight="1">
      <c r="A453" s="11"/>
      <c r="B453" s="19"/>
      <c r="C453" s="11"/>
      <c r="D453" s="11"/>
    </row>
    <row r="454" ht="15.75" customHeight="1">
      <c r="A454" s="11"/>
      <c r="B454" s="19"/>
      <c r="C454" s="11"/>
      <c r="D454" s="11"/>
    </row>
    <row r="455" ht="15.75" customHeight="1">
      <c r="A455" s="11"/>
      <c r="B455" s="19"/>
      <c r="C455" s="11"/>
      <c r="D455" s="11"/>
    </row>
    <row r="456" ht="15.75" customHeight="1">
      <c r="A456" s="11"/>
      <c r="B456" s="19"/>
      <c r="C456" s="11"/>
      <c r="D456" s="11"/>
    </row>
    <row r="457" ht="15.75" customHeight="1">
      <c r="A457" s="11"/>
      <c r="B457" s="19"/>
      <c r="C457" s="11"/>
      <c r="D457" s="11"/>
    </row>
    <row r="458" ht="15.75" customHeight="1">
      <c r="A458" s="11"/>
      <c r="B458" s="19"/>
      <c r="C458" s="11"/>
      <c r="D458" s="11"/>
    </row>
    <row r="459" ht="15.75" customHeight="1">
      <c r="A459" s="11"/>
      <c r="B459" s="19"/>
      <c r="C459" s="11"/>
      <c r="D459" s="11"/>
    </row>
    <row r="460" ht="15.75" customHeight="1">
      <c r="A460" s="11"/>
      <c r="B460" s="19"/>
      <c r="C460" s="11"/>
      <c r="D460" s="11"/>
    </row>
    <row r="461" ht="15.75" customHeight="1">
      <c r="A461" s="11"/>
      <c r="B461" s="19"/>
      <c r="C461" s="11"/>
      <c r="D461" s="11"/>
    </row>
    <row r="462" ht="15.75" customHeight="1">
      <c r="A462" s="11"/>
      <c r="B462" s="19"/>
      <c r="C462" s="11"/>
      <c r="D462" s="11"/>
    </row>
    <row r="463" ht="15.75" customHeight="1">
      <c r="A463" s="11"/>
      <c r="B463" s="19"/>
      <c r="C463" s="11"/>
      <c r="D463" s="11"/>
    </row>
    <row r="464" ht="15.75" customHeight="1">
      <c r="A464" s="11"/>
      <c r="B464" s="19"/>
      <c r="C464" s="11"/>
      <c r="D464" s="11"/>
    </row>
    <row r="465" ht="15.75" customHeight="1">
      <c r="A465" s="11"/>
      <c r="B465" s="19"/>
      <c r="C465" s="11"/>
      <c r="D465" s="11"/>
    </row>
    <row r="466" ht="15.75" customHeight="1">
      <c r="A466" s="11"/>
      <c r="B466" s="19"/>
      <c r="C466" s="11"/>
      <c r="D466" s="11"/>
    </row>
    <row r="467" ht="15.75" customHeight="1">
      <c r="A467" s="11"/>
      <c r="B467" s="19"/>
      <c r="C467" s="11"/>
      <c r="D467" s="11"/>
    </row>
    <row r="468" ht="15.75" customHeight="1">
      <c r="A468" s="11"/>
      <c r="B468" s="19"/>
      <c r="C468" s="11"/>
      <c r="D468" s="11"/>
    </row>
    <row r="469" ht="15.75" customHeight="1">
      <c r="A469" s="11"/>
      <c r="B469" s="19"/>
      <c r="C469" s="11"/>
      <c r="D469" s="11"/>
    </row>
    <row r="470" ht="15.75" customHeight="1">
      <c r="A470" s="11"/>
      <c r="B470" s="19"/>
      <c r="C470" s="11"/>
      <c r="D470" s="11"/>
    </row>
    <row r="471" ht="15.75" customHeight="1">
      <c r="A471" s="11"/>
      <c r="B471" s="19"/>
      <c r="C471" s="11"/>
      <c r="D471" s="11"/>
    </row>
    <row r="472" ht="15.75" customHeight="1">
      <c r="A472" s="11"/>
      <c r="B472" s="19"/>
      <c r="C472" s="11"/>
      <c r="D472" s="11"/>
    </row>
    <row r="473" ht="15.75" customHeight="1">
      <c r="A473" s="11"/>
      <c r="B473" s="19"/>
      <c r="C473" s="11"/>
      <c r="D473" s="11"/>
    </row>
    <row r="474" ht="15.75" customHeight="1">
      <c r="A474" s="11"/>
      <c r="B474" s="19"/>
      <c r="C474" s="11"/>
      <c r="D474" s="11"/>
    </row>
    <row r="475" ht="15.75" customHeight="1">
      <c r="A475" s="11"/>
      <c r="B475" s="19"/>
      <c r="C475" s="11"/>
      <c r="D475" s="11"/>
    </row>
    <row r="476" ht="15.75" customHeight="1">
      <c r="A476" s="11"/>
      <c r="B476" s="19"/>
      <c r="C476" s="11"/>
      <c r="D476" s="11"/>
    </row>
    <row r="477" ht="15.75" customHeight="1">
      <c r="A477" s="11"/>
      <c r="B477" s="19"/>
      <c r="C477" s="11"/>
      <c r="D477" s="11"/>
    </row>
    <row r="478" ht="15.75" customHeight="1">
      <c r="A478" s="11"/>
      <c r="B478" s="19"/>
      <c r="C478" s="11"/>
      <c r="D478" s="11"/>
    </row>
    <row r="479" ht="15.75" customHeight="1">
      <c r="A479" s="11"/>
      <c r="B479" s="19"/>
      <c r="C479" s="11"/>
      <c r="D479" s="11"/>
    </row>
    <row r="480" ht="15.75" customHeight="1">
      <c r="A480" s="11"/>
      <c r="B480" s="19"/>
      <c r="C480" s="11"/>
      <c r="D480" s="11"/>
    </row>
    <row r="481" ht="15.75" customHeight="1">
      <c r="A481" s="11"/>
      <c r="B481" s="19"/>
      <c r="C481" s="11"/>
      <c r="D481" s="11"/>
    </row>
    <row r="482" ht="15.75" customHeight="1">
      <c r="A482" s="11"/>
      <c r="B482" s="19"/>
      <c r="C482" s="11"/>
      <c r="D482" s="11"/>
    </row>
    <row r="483" ht="15.75" customHeight="1">
      <c r="A483" s="11"/>
      <c r="B483" s="19"/>
      <c r="C483" s="11"/>
      <c r="D483" s="11"/>
    </row>
    <row r="484" ht="15.75" customHeight="1">
      <c r="A484" s="11"/>
      <c r="B484" s="19"/>
      <c r="C484" s="11"/>
      <c r="D484" s="11"/>
    </row>
    <row r="485" ht="15.75" customHeight="1">
      <c r="A485" s="11"/>
      <c r="B485" s="19"/>
      <c r="C485" s="11"/>
      <c r="D485" s="11"/>
    </row>
    <row r="486" ht="15.75" customHeight="1">
      <c r="A486" s="11"/>
      <c r="B486" s="19"/>
      <c r="C486" s="11"/>
      <c r="D486" s="11"/>
    </row>
    <row r="487" ht="15.75" customHeight="1">
      <c r="A487" s="11"/>
      <c r="B487" s="19"/>
      <c r="C487" s="11"/>
      <c r="D487" s="11"/>
    </row>
    <row r="488" ht="15.75" customHeight="1">
      <c r="A488" s="11"/>
      <c r="B488" s="19"/>
      <c r="C488" s="11"/>
      <c r="D488" s="11"/>
    </row>
    <row r="489" ht="15.75" customHeight="1">
      <c r="A489" s="11"/>
      <c r="B489" s="19"/>
      <c r="C489" s="11"/>
      <c r="D489" s="11"/>
    </row>
    <row r="490" ht="15.75" customHeight="1">
      <c r="A490" s="11"/>
      <c r="B490" s="19"/>
      <c r="C490" s="11"/>
      <c r="D490" s="11"/>
    </row>
    <row r="491" ht="15.75" customHeight="1">
      <c r="A491" s="11"/>
      <c r="B491" s="19"/>
      <c r="C491" s="11"/>
      <c r="D491" s="11"/>
    </row>
    <row r="492" ht="15.75" customHeight="1">
      <c r="A492" s="11"/>
      <c r="B492" s="19"/>
      <c r="C492" s="11"/>
      <c r="D492" s="11"/>
    </row>
    <row r="493" ht="15.75" customHeight="1">
      <c r="A493" s="11"/>
      <c r="B493" s="19"/>
      <c r="C493" s="11"/>
      <c r="D493" s="11"/>
    </row>
    <row r="494" ht="15.75" customHeight="1">
      <c r="A494" s="11"/>
      <c r="B494" s="19"/>
      <c r="C494" s="11"/>
      <c r="D494" s="11"/>
    </row>
    <row r="495" ht="15.75" customHeight="1">
      <c r="A495" s="11"/>
      <c r="B495" s="19"/>
      <c r="C495" s="11"/>
      <c r="D495" s="11"/>
    </row>
    <row r="496" ht="15.75" customHeight="1">
      <c r="A496" s="11"/>
      <c r="B496" s="19"/>
      <c r="C496" s="11"/>
      <c r="D496" s="11"/>
    </row>
    <row r="497" ht="15.75" customHeight="1">
      <c r="A497" s="11"/>
      <c r="B497" s="19"/>
      <c r="C497" s="11"/>
      <c r="D497" s="11"/>
    </row>
    <row r="498" ht="15.75" customHeight="1">
      <c r="A498" s="11"/>
      <c r="B498" s="19"/>
      <c r="C498" s="11"/>
      <c r="D498" s="11"/>
    </row>
    <row r="499" ht="15.75" customHeight="1">
      <c r="A499" s="11"/>
      <c r="B499" s="19"/>
      <c r="C499" s="11"/>
      <c r="D499" s="11"/>
    </row>
    <row r="500" ht="15.75" customHeight="1">
      <c r="A500" s="11"/>
      <c r="B500" s="19"/>
      <c r="C500" s="11"/>
      <c r="D500" s="11"/>
    </row>
    <row r="501" ht="15.75" customHeight="1">
      <c r="A501" s="11"/>
      <c r="B501" s="19"/>
      <c r="C501" s="11"/>
      <c r="D501" s="11"/>
    </row>
    <row r="502" ht="15.75" customHeight="1">
      <c r="A502" s="11"/>
      <c r="B502" s="19"/>
      <c r="C502" s="11"/>
      <c r="D502" s="11"/>
    </row>
    <row r="503" ht="15.75" customHeight="1">
      <c r="A503" s="11"/>
      <c r="B503" s="19"/>
      <c r="C503" s="11"/>
      <c r="D503" s="11"/>
    </row>
    <row r="504" ht="15.75" customHeight="1">
      <c r="A504" s="11"/>
      <c r="B504" s="19"/>
      <c r="C504" s="11"/>
      <c r="D504" s="11"/>
    </row>
    <row r="505" ht="15.75" customHeight="1">
      <c r="A505" s="11"/>
      <c r="B505" s="19"/>
      <c r="C505" s="11"/>
      <c r="D505" s="11"/>
    </row>
    <row r="506" ht="15.75" customHeight="1">
      <c r="A506" s="11"/>
      <c r="B506" s="19"/>
      <c r="C506" s="11"/>
      <c r="D506" s="11"/>
    </row>
    <row r="507" ht="15.75" customHeight="1">
      <c r="A507" s="11"/>
      <c r="B507" s="19"/>
      <c r="C507" s="11"/>
      <c r="D507" s="11"/>
    </row>
    <row r="508" ht="15.75" customHeight="1">
      <c r="A508" s="11"/>
      <c r="B508" s="19"/>
      <c r="C508" s="11"/>
      <c r="D508" s="11"/>
    </row>
    <row r="509" ht="15.75" customHeight="1">
      <c r="A509" s="11"/>
      <c r="B509" s="19"/>
      <c r="C509" s="11"/>
      <c r="D509" s="11"/>
    </row>
    <row r="510" ht="15.75" customHeight="1">
      <c r="A510" s="11"/>
      <c r="B510" s="19"/>
      <c r="C510" s="11"/>
      <c r="D510" s="11"/>
    </row>
    <row r="511" ht="15.75" customHeight="1">
      <c r="A511" s="11"/>
      <c r="B511" s="19"/>
      <c r="C511" s="11"/>
      <c r="D511" s="11"/>
    </row>
    <row r="512" ht="15.75" customHeight="1">
      <c r="A512" s="11"/>
      <c r="B512" s="19"/>
      <c r="C512" s="11"/>
      <c r="D512" s="11"/>
    </row>
    <row r="513" ht="15.75" customHeight="1">
      <c r="A513" s="11"/>
      <c r="B513" s="19"/>
      <c r="C513" s="11"/>
      <c r="D513" s="11"/>
    </row>
    <row r="514" ht="15.75" customHeight="1">
      <c r="A514" s="11"/>
      <c r="B514" s="19"/>
      <c r="C514" s="11"/>
      <c r="D514" s="11"/>
    </row>
    <row r="515" ht="15.75" customHeight="1">
      <c r="A515" s="11"/>
      <c r="B515" s="19"/>
      <c r="C515" s="11"/>
      <c r="D515" s="11"/>
    </row>
    <row r="516" ht="15.75" customHeight="1">
      <c r="A516" s="11"/>
      <c r="B516" s="19"/>
      <c r="C516" s="11"/>
      <c r="D516" s="11"/>
    </row>
    <row r="517" ht="15.75" customHeight="1">
      <c r="A517" s="11"/>
      <c r="B517" s="19"/>
      <c r="C517" s="11"/>
      <c r="D517" s="11"/>
    </row>
    <row r="518" ht="15.75" customHeight="1">
      <c r="A518" s="11"/>
      <c r="B518" s="19"/>
      <c r="C518" s="11"/>
      <c r="D518" s="11"/>
    </row>
    <row r="519" ht="15.75" customHeight="1">
      <c r="A519" s="11"/>
      <c r="B519" s="19"/>
      <c r="C519" s="11"/>
      <c r="D519" s="11"/>
    </row>
    <row r="520" ht="15.75" customHeight="1">
      <c r="A520" s="11"/>
      <c r="B520" s="19"/>
      <c r="C520" s="11"/>
      <c r="D520" s="11"/>
    </row>
    <row r="521" ht="15.75" customHeight="1">
      <c r="A521" s="11"/>
      <c r="B521" s="19"/>
      <c r="C521" s="11"/>
      <c r="D521" s="11"/>
    </row>
    <row r="522" ht="15.75" customHeight="1">
      <c r="A522" s="11"/>
      <c r="B522" s="19"/>
      <c r="C522" s="11"/>
      <c r="D522" s="11"/>
    </row>
    <row r="523" ht="15.75" customHeight="1">
      <c r="A523" s="11"/>
      <c r="B523" s="19"/>
      <c r="C523" s="11"/>
      <c r="D523" s="11"/>
    </row>
    <row r="524" ht="15.75" customHeight="1">
      <c r="A524" s="11"/>
      <c r="B524" s="19"/>
      <c r="C524" s="11"/>
      <c r="D524" s="11"/>
    </row>
    <row r="525" ht="15.75" customHeight="1">
      <c r="A525" s="11"/>
      <c r="B525" s="19"/>
      <c r="C525" s="11"/>
      <c r="D525" s="11"/>
    </row>
    <row r="526" ht="15.75" customHeight="1">
      <c r="A526" s="11"/>
      <c r="B526" s="19"/>
      <c r="C526" s="11"/>
      <c r="D526" s="11"/>
    </row>
    <row r="527" ht="15.75" customHeight="1">
      <c r="A527" s="11"/>
      <c r="B527" s="19"/>
      <c r="C527" s="11"/>
      <c r="D527" s="11"/>
    </row>
    <row r="528" ht="15.75" customHeight="1">
      <c r="A528" s="11"/>
      <c r="B528" s="19"/>
      <c r="C528" s="11"/>
      <c r="D528" s="11"/>
    </row>
    <row r="529" ht="15.75" customHeight="1">
      <c r="A529" s="11"/>
      <c r="B529" s="19"/>
      <c r="C529" s="11"/>
      <c r="D529" s="11"/>
    </row>
    <row r="530" ht="15.75" customHeight="1">
      <c r="A530" s="11"/>
      <c r="B530" s="19"/>
      <c r="C530" s="11"/>
      <c r="D530" s="11"/>
    </row>
    <row r="531" ht="15.75" customHeight="1">
      <c r="A531" s="11"/>
      <c r="B531" s="19"/>
      <c r="C531" s="11"/>
      <c r="D531" s="11"/>
    </row>
    <row r="532" ht="15.75" customHeight="1">
      <c r="A532" s="11"/>
      <c r="B532" s="19"/>
      <c r="C532" s="11"/>
      <c r="D532" s="11"/>
    </row>
    <row r="533" ht="15.75" customHeight="1">
      <c r="A533" s="11"/>
      <c r="B533" s="19"/>
      <c r="C533" s="11"/>
      <c r="D533" s="11"/>
    </row>
    <row r="534" ht="15.75" customHeight="1">
      <c r="A534" s="11"/>
      <c r="B534" s="19"/>
      <c r="C534" s="11"/>
      <c r="D534" s="11"/>
    </row>
    <row r="535" ht="15.75" customHeight="1">
      <c r="A535" s="11"/>
      <c r="B535" s="19"/>
      <c r="C535" s="11"/>
      <c r="D535" s="11"/>
    </row>
    <row r="536" ht="15.75" customHeight="1">
      <c r="A536" s="11"/>
      <c r="B536" s="19"/>
      <c r="C536" s="11"/>
      <c r="D536" s="11"/>
    </row>
    <row r="537" ht="15.75" customHeight="1">
      <c r="A537" s="11"/>
      <c r="B537" s="19"/>
      <c r="C537" s="11"/>
      <c r="D537" s="11"/>
    </row>
    <row r="538" ht="15.75" customHeight="1">
      <c r="A538" s="11"/>
      <c r="B538" s="19"/>
      <c r="C538" s="11"/>
      <c r="D538" s="11"/>
    </row>
    <row r="539" ht="15.75" customHeight="1">
      <c r="A539" s="11"/>
      <c r="B539" s="19"/>
      <c r="C539" s="11"/>
      <c r="D539" s="11"/>
    </row>
    <row r="540" ht="15.75" customHeight="1">
      <c r="A540" s="11"/>
      <c r="B540" s="19"/>
      <c r="C540" s="11"/>
      <c r="D540" s="11"/>
    </row>
    <row r="541" ht="15.75" customHeight="1">
      <c r="A541" s="11"/>
      <c r="B541" s="19"/>
      <c r="C541" s="11"/>
      <c r="D541" s="11"/>
    </row>
    <row r="542" ht="15.75" customHeight="1">
      <c r="A542" s="11"/>
      <c r="B542" s="19"/>
      <c r="C542" s="11"/>
      <c r="D542" s="11"/>
    </row>
    <row r="543" ht="15.75" customHeight="1">
      <c r="A543" s="11"/>
      <c r="B543" s="19"/>
      <c r="C543" s="11"/>
      <c r="D543" s="11"/>
    </row>
    <row r="544" ht="15.75" customHeight="1">
      <c r="A544" s="11"/>
      <c r="B544" s="19"/>
      <c r="C544" s="11"/>
      <c r="D544" s="11"/>
    </row>
    <row r="545" ht="15.75" customHeight="1">
      <c r="A545" s="11"/>
      <c r="B545" s="19"/>
      <c r="C545" s="11"/>
      <c r="D545" s="11"/>
    </row>
    <row r="546" ht="15.75" customHeight="1">
      <c r="A546" s="11"/>
      <c r="B546" s="19"/>
      <c r="C546" s="11"/>
      <c r="D546" s="11"/>
    </row>
    <row r="547" ht="15.75" customHeight="1">
      <c r="A547" s="11"/>
      <c r="B547" s="19"/>
      <c r="C547" s="11"/>
      <c r="D547" s="11"/>
    </row>
    <row r="548" ht="15.75" customHeight="1">
      <c r="A548" s="11"/>
      <c r="B548" s="19"/>
      <c r="C548" s="11"/>
      <c r="D548" s="11"/>
    </row>
    <row r="549" ht="15.75" customHeight="1">
      <c r="A549" s="11"/>
      <c r="B549" s="19"/>
      <c r="C549" s="11"/>
      <c r="D549" s="11"/>
    </row>
    <row r="550" ht="15.75" customHeight="1">
      <c r="A550" s="11"/>
      <c r="B550" s="19"/>
      <c r="C550" s="11"/>
      <c r="D550" s="11"/>
    </row>
    <row r="551" ht="15.75" customHeight="1">
      <c r="A551" s="11"/>
      <c r="B551" s="19"/>
      <c r="C551" s="11"/>
      <c r="D551" s="11"/>
    </row>
    <row r="552" ht="15.75" customHeight="1">
      <c r="A552" s="11"/>
      <c r="B552" s="19"/>
      <c r="C552" s="11"/>
      <c r="D552" s="11"/>
    </row>
    <row r="553" ht="15.75" customHeight="1">
      <c r="A553" s="11"/>
      <c r="B553" s="19"/>
      <c r="C553" s="11"/>
      <c r="D553" s="11"/>
    </row>
    <row r="554" ht="15.75" customHeight="1">
      <c r="A554" s="11"/>
      <c r="B554" s="19"/>
      <c r="C554" s="11"/>
      <c r="D554" s="11"/>
    </row>
    <row r="555" ht="15.75" customHeight="1">
      <c r="A555" s="11"/>
      <c r="B555" s="19"/>
      <c r="C555" s="11"/>
      <c r="D555" s="11"/>
    </row>
    <row r="556" ht="15.75" customHeight="1">
      <c r="A556" s="11"/>
      <c r="B556" s="19"/>
      <c r="C556" s="11"/>
      <c r="D556" s="11"/>
    </row>
    <row r="557" ht="15.75" customHeight="1">
      <c r="A557" s="11"/>
      <c r="B557" s="19"/>
      <c r="C557" s="11"/>
      <c r="D557" s="11"/>
    </row>
    <row r="558" ht="15.75" customHeight="1">
      <c r="A558" s="11"/>
      <c r="B558" s="19"/>
      <c r="C558" s="11"/>
      <c r="D558" s="11"/>
    </row>
    <row r="559" ht="15.75" customHeight="1">
      <c r="A559" s="11"/>
      <c r="B559" s="19"/>
      <c r="C559" s="11"/>
      <c r="D559" s="11"/>
    </row>
    <row r="560" ht="15.75" customHeight="1">
      <c r="A560" s="11"/>
      <c r="B560" s="19"/>
      <c r="C560" s="11"/>
      <c r="D560" s="11"/>
    </row>
    <row r="561" ht="15.75" customHeight="1">
      <c r="A561" s="11"/>
      <c r="B561" s="19"/>
      <c r="C561" s="11"/>
      <c r="D561" s="11"/>
    </row>
    <row r="562" ht="15.75" customHeight="1">
      <c r="A562" s="11"/>
      <c r="B562" s="19"/>
      <c r="C562" s="11"/>
      <c r="D562" s="11"/>
    </row>
    <row r="563" ht="15.75" customHeight="1">
      <c r="A563" s="11"/>
      <c r="B563" s="19"/>
      <c r="C563" s="11"/>
      <c r="D563" s="11"/>
    </row>
    <row r="564" ht="15.75" customHeight="1">
      <c r="A564" s="11"/>
      <c r="B564" s="19"/>
      <c r="C564" s="11"/>
      <c r="D564" s="11"/>
    </row>
    <row r="565" ht="15.75" customHeight="1">
      <c r="A565" s="11"/>
      <c r="B565" s="19"/>
      <c r="C565" s="11"/>
      <c r="D565" s="11"/>
    </row>
    <row r="566" ht="15.75" customHeight="1">
      <c r="A566" s="11"/>
      <c r="B566" s="19"/>
      <c r="C566" s="11"/>
      <c r="D566" s="11"/>
    </row>
    <row r="567" ht="15.75" customHeight="1">
      <c r="A567" s="11"/>
      <c r="B567" s="19"/>
      <c r="C567" s="11"/>
      <c r="D567" s="11"/>
    </row>
    <row r="568" ht="15.75" customHeight="1">
      <c r="A568" s="11"/>
      <c r="B568" s="19"/>
      <c r="C568" s="11"/>
      <c r="D568" s="11"/>
    </row>
    <row r="569" ht="15.75" customHeight="1">
      <c r="A569" s="11"/>
      <c r="B569" s="19"/>
      <c r="C569" s="11"/>
      <c r="D569" s="11"/>
    </row>
    <row r="570" ht="15.75" customHeight="1">
      <c r="A570" s="11"/>
      <c r="B570" s="19"/>
      <c r="C570" s="11"/>
      <c r="D570" s="11"/>
    </row>
    <row r="571" ht="15.75" customHeight="1">
      <c r="A571" s="11"/>
      <c r="B571" s="19"/>
      <c r="C571" s="11"/>
      <c r="D571" s="11"/>
    </row>
    <row r="572" ht="15.75" customHeight="1">
      <c r="A572" s="11"/>
      <c r="B572" s="19"/>
      <c r="C572" s="11"/>
      <c r="D572" s="11"/>
    </row>
    <row r="573" ht="15.75" customHeight="1">
      <c r="A573" s="11"/>
      <c r="B573" s="19"/>
      <c r="C573" s="11"/>
      <c r="D573" s="11"/>
    </row>
    <row r="574" ht="15.75" customHeight="1">
      <c r="A574" s="11"/>
      <c r="B574" s="19"/>
      <c r="C574" s="11"/>
      <c r="D574" s="11"/>
    </row>
    <row r="575" ht="15.75" customHeight="1">
      <c r="A575" s="11"/>
      <c r="B575" s="19"/>
      <c r="C575" s="11"/>
      <c r="D575" s="11"/>
    </row>
    <row r="576" ht="15.75" customHeight="1">
      <c r="A576" s="11"/>
      <c r="B576" s="19"/>
      <c r="C576" s="11"/>
      <c r="D576" s="11"/>
    </row>
    <row r="577" ht="15.75" customHeight="1">
      <c r="A577" s="11"/>
      <c r="B577" s="19"/>
      <c r="C577" s="11"/>
      <c r="D577" s="11"/>
    </row>
    <row r="578" ht="15.75" customHeight="1">
      <c r="A578" s="11"/>
      <c r="B578" s="19"/>
      <c r="C578" s="11"/>
      <c r="D578" s="11"/>
    </row>
    <row r="579" ht="15.75" customHeight="1">
      <c r="A579" s="11"/>
      <c r="B579" s="19"/>
      <c r="C579" s="11"/>
      <c r="D579" s="11"/>
    </row>
    <row r="580" ht="15.75" customHeight="1">
      <c r="A580" s="11"/>
      <c r="B580" s="19"/>
      <c r="C580" s="11"/>
      <c r="D580" s="11"/>
    </row>
    <row r="581" ht="15.75" customHeight="1">
      <c r="A581" s="11"/>
      <c r="B581" s="19"/>
      <c r="C581" s="11"/>
      <c r="D581" s="11"/>
    </row>
    <row r="582" ht="15.75" customHeight="1">
      <c r="A582" s="11"/>
      <c r="B582" s="19"/>
      <c r="C582" s="11"/>
      <c r="D582" s="11"/>
    </row>
    <row r="583" ht="15.75" customHeight="1">
      <c r="A583" s="11"/>
      <c r="B583" s="19"/>
      <c r="C583" s="11"/>
      <c r="D583" s="11"/>
    </row>
    <row r="584" ht="15.75" customHeight="1">
      <c r="A584" s="11"/>
      <c r="B584" s="19"/>
      <c r="C584" s="11"/>
      <c r="D584" s="11"/>
    </row>
    <row r="585" ht="15.75" customHeight="1">
      <c r="A585" s="11"/>
      <c r="B585" s="19"/>
      <c r="C585" s="11"/>
      <c r="D585" s="11"/>
    </row>
    <row r="586" ht="15.75" customHeight="1">
      <c r="A586" s="11"/>
      <c r="B586" s="19"/>
      <c r="C586" s="11"/>
      <c r="D586" s="11"/>
    </row>
    <row r="587" ht="15.75" customHeight="1">
      <c r="A587" s="11"/>
      <c r="B587" s="19"/>
      <c r="C587" s="11"/>
      <c r="D587" s="11"/>
    </row>
    <row r="588" ht="15.75" customHeight="1">
      <c r="A588" s="11"/>
      <c r="B588" s="19"/>
      <c r="C588" s="11"/>
      <c r="D588" s="11"/>
    </row>
    <row r="589" ht="15.75" customHeight="1">
      <c r="A589" s="11"/>
      <c r="B589" s="19"/>
      <c r="C589" s="11"/>
      <c r="D589" s="11"/>
    </row>
    <row r="590" ht="15.75" customHeight="1">
      <c r="A590" s="11"/>
      <c r="B590" s="19"/>
      <c r="C590" s="11"/>
      <c r="D590" s="11"/>
    </row>
    <row r="591" ht="15.75" customHeight="1">
      <c r="A591" s="11"/>
      <c r="B591" s="19"/>
      <c r="C591" s="11"/>
      <c r="D591" s="11"/>
    </row>
    <row r="592" ht="15.75" customHeight="1">
      <c r="A592" s="11"/>
      <c r="B592" s="19"/>
      <c r="C592" s="11"/>
      <c r="D592" s="11"/>
    </row>
    <row r="593" ht="15.75" customHeight="1">
      <c r="A593" s="11"/>
      <c r="B593" s="19"/>
      <c r="C593" s="11"/>
      <c r="D593" s="11"/>
    </row>
    <row r="594" ht="15.75" customHeight="1">
      <c r="A594" s="11"/>
      <c r="B594" s="19"/>
      <c r="C594" s="11"/>
      <c r="D594" s="11"/>
    </row>
    <row r="595" ht="15.75" customHeight="1">
      <c r="A595" s="11"/>
      <c r="B595" s="19"/>
      <c r="C595" s="11"/>
      <c r="D595" s="11"/>
    </row>
    <row r="596" ht="15.75" customHeight="1">
      <c r="A596" s="11"/>
      <c r="B596" s="19"/>
      <c r="C596" s="11"/>
      <c r="D596" s="11"/>
    </row>
    <row r="597" ht="15.75" customHeight="1">
      <c r="A597" s="11"/>
      <c r="B597" s="19"/>
      <c r="C597" s="11"/>
      <c r="D597" s="11"/>
    </row>
    <row r="598" ht="15.75" customHeight="1">
      <c r="A598" s="11"/>
      <c r="B598" s="19"/>
      <c r="C598" s="11"/>
      <c r="D598" s="11"/>
    </row>
    <row r="599" ht="15.75" customHeight="1">
      <c r="A599" s="11"/>
      <c r="B599" s="19"/>
      <c r="C599" s="11"/>
      <c r="D599" s="11"/>
    </row>
    <row r="600" ht="15.75" customHeight="1">
      <c r="A600" s="11"/>
      <c r="B600" s="19"/>
      <c r="C600" s="11"/>
      <c r="D600" s="11"/>
    </row>
    <row r="601" ht="15.75" customHeight="1">
      <c r="A601" s="11"/>
      <c r="B601" s="19"/>
      <c r="C601" s="11"/>
      <c r="D601" s="11"/>
    </row>
    <row r="602" ht="15.75" customHeight="1">
      <c r="A602" s="11"/>
      <c r="B602" s="19"/>
      <c r="C602" s="11"/>
      <c r="D602" s="11"/>
    </row>
    <row r="603" ht="15.75" customHeight="1">
      <c r="A603" s="11"/>
      <c r="B603" s="19"/>
      <c r="C603" s="11"/>
      <c r="D603" s="11"/>
    </row>
    <row r="604" ht="15.75" customHeight="1">
      <c r="A604" s="11"/>
      <c r="B604" s="19"/>
      <c r="C604" s="11"/>
      <c r="D604" s="11"/>
    </row>
    <row r="605" ht="15.75" customHeight="1">
      <c r="A605" s="11"/>
      <c r="B605" s="19"/>
      <c r="C605" s="11"/>
      <c r="D605" s="11"/>
    </row>
    <row r="606" ht="15.75" customHeight="1">
      <c r="A606" s="11"/>
      <c r="B606" s="19"/>
      <c r="C606" s="11"/>
      <c r="D606" s="11"/>
    </row>
    <row r="607" ht="15.75" customHeight="1">
      <c r="A607" s="11"/>
      <c r="B607" s="19"/>
      <c r="C607" s="11"/>
      <c r="D607" s="11"/>
    </row>
    <row r="608" ht="15.75" customHeight="1">
      <c r="A608" s="11"/>
      <c r="B608" s="19"/>
      <c r="C608" s="11"/>
      <c r="D608" s="11"/>
    </row>
    <row r="609" ht="15.75" customHeight="1">
      <c r="A609" s="11"/>
      <c r="B609" s="19"/>
      <c r="C609" s="11"/>
      <c r="D609" s="11"/>
    </row>
    <row r="610" ht="15.75" customHeight="1">
      <c r="A610" s="11"/>
      <c r="B610" s="19"/>
      <c r="C610" s="11"/>
      <c r="D610" s="11"/>
    </row>
    <row r="611" ht="15.75" customHeight="1">
      <c r="A611" s="11"/>
      <c r="B611" s="19"/>
      <c r="C611" s="11"/>
      <c r="D611" s="11"/>
    </row>
    <row r="612" ht="15.75" customHeight="1">
      <c r="A612" s="11"/>
      <c r="B612" s="19"/>
      <c r="C612" s="11"/>
      <c r="D612" s="11"/>
    </row>
    <row r="613" ht="15.75" customHeight="1">
      <c r="A613" s="11"/>
      <c r="B613" s="19"/>
      <c r="C613" s="11"/>
      <c r="D613" s="11"/>
    </row>
    <row r="614" ht="15.75" customHeight="1">
      <c r="A614" s="11"/>
      <c r="B614" s="19"/>
      <c r="C614" s="11"/>
      <c r="D614" s="11"/>
    </row>
    <row r="615" ht="15.75" customHeight="1">
      <c r="A615" s="11"/>
      <c r="B615" s="19"/>
      <c r="C615" s="11"/>
      <c r="D615" s="11"/>
    </row>
    <row r="616" ht="15.75" customHeight="1">
      <c r="A616" s="11"/>
      <c r="B616" s="19"/>
      <c r="C616" s="11"/>
      <c r="D616" s="11"/>
    </row>
    <row r="617" ht="15.75" customHeight="1">
      <c r="A617" s="11"/>
      <c r="B617" s="19"/>
      <c r="C617" s="11"/>
      <c r="D617" s="11"/>
    </row>
    <row r="618" ht="15.75" customHeight="1">
      <c r="A618" s="11"/>
      <c r="B618" s="19"/>
      <c r="C618" s="11"/>
      <c r="D618" s="11"/>
    </row>
    <row r="619" ht="15.75" customHeight="1">
      <c r="A619" s="11"/>
      <c r="B619" s="19"/>
      <c r="C619" s="11"/>
      <c r="D619" s="11"/>
    </row>
    <row r="620" ht="15.75" customHeight="1">
      <c r="A620" s="11"/>
      <c r="B620" s="19"/>
      <c r="C620" s="11"/>
      <c r="D620" s="11"/>
    </row>
    <row r="621" ht="15.75" customHeight="1">
      <c r="A621" s="11"/>
      <c r="B621" s="19"/>
      <c r="C621" s="11"/>
      <c r="D621" s="11"/>
    </row>
    <row r="622" ht="15.75" customHeight="1">
      <c r="A622" s="11"/>
      <c r="B622" s="19"/>
      <c r="C622" s="11"/>
      <c r="D622" s="11"/>
    </row>
    <row r="623" ht="15.75" customHeight="1">
      <c r="A623" s="11"/>
      <c r="B623" s="19"/>
      <c r="C623" s="11"/>
      <c r="D623" s="11"/>
    </row>
    <row r="624" ht="15.75" customHeight="1">
      <c r="A624" s="11"/>
      <c r="B624" s="19"/>
      <c r="C624" s="11"/>
      <c r="D624" s="11"/>
    </row>
    <row r="625" ht="15.75" customHeight="1">
      <c r="A625" s="11"/>
      <c r="B625" s="19"/>
      <c r="C625" s="11"/>
      <c r="D625" s="11"/>
    </row>
    <row r="626" ht="15.75" customHeight="1">
      <c r="A626" s="11"/>
      <c r="B626" s="19"/>
      <c r="C626" s="11"/>
      <c r="D626" s="11"/>
    </row>
    <row r="627" ht="15.75" customHeight="1">
      <c r="A627" s="11"/>
      <c r="B627" s="19"/>
      <c r="C627" s="11"/>
      <c r="D627" s="11"/>
    </row>
    <row r="628" ht="15.75" customHeight="1">
      <c r="A628" s="11"/>
      <c r="B628" s="19"/>
      <c r="C628" s="11"/>
      <c r="D628" s="11"/>
    </row>
    <row r="629" ht="15.75" customHeight="1">
      <c r="A629" s="11"/>
      <c r="B629" s="19"/>
      <c r="C629" s="11"/>
      <c r="D629" s="11"/>
    </row>
    <row r="630" ht="15.75" customHeight="1">
      <c r="A630" s="11"/>
      <c r="B630" s="19"/>
      <c r="C630" s="11"/>
      <c r="D630" s="11"/>
    </row>
    <row r="631" ht="15.75" customHeight="1">
      <c r="A631" s="11"/>
      <c r="B631" s="19"/>
      <c r="C631" s="11"/>
      <c r="D631" s="11"/>
    </row>
    <row r="632" ht="15.75" customHeight="1">
      <c r="A632" s="11"/>
      <c r="B632" s="19"/>
      <c r="C632" s="11"/>
      <c r="D632" s="11"/>
    </row>
    <row r="633" ht="15.75" customHeight="1">
      <c r="A633" s="11"/>
      <c r="B633" s="19"/>
      <c r="C633" s="11"/>
      <c r="D633" s="11"/>
    </row>
    <row r="634" ht="15.75" customHeight="1">
      <c r="A634" s="11"/>
      <c r="B634" s="19"/>
      <c r="C634" s="11"/>
      <c r="D634" s="11"/>
    </row>
    <row r="635" ht="15.75" customHeight="1">
      <c r="A635" s="11"/>
      <c r="B635" s="19"/>
      <c r="C635" s="11"/>
      <c r="D635" s="11"/>
    </row>
    <row r="636" ht="15.75" customHeight="1">
      <c r="A636" s="11"/>
      <c r="B636" s="19"/>
      <c r="C636" s="11"/>
      <c r="D636" s="11"/>
    </row>
    <row r="637" ht="15.75" customHeight="1">
      <c r="A637" s="11"/>
      <c r="B637" s="19"/>
      <c r="C637" s="11"/>
      <c r="D637" s="11"/>
    </row>
    <row r="638" ht="15.75" customHeight="1">
      <c r="A638" s="11"/>
      <c r="B638" s="19"/>
      <c r="C638" s="11"/>
      <c r="D638" s="11"/>
    </row>
    <row r="639" ht="15.75" customHeight="1">
      <c r="A639" s="11"/>
      <c r="B639" s="19"/>
      <c r="C639" s="11"/>
      <c r="D639" s="11"/>
    </row>
    <row r="640" ht="15.75" customHeight="1">
      <c r="A640" s="11"/>
      <c r="B640" s="19"/>
      <c r="C640" s="11"/>
      <c r="D640" s="11"/>
    </row>
    <row r="641" ht="15.75" customHeight="1">
      <c r="A641" s="11"/>
      <c r="B641" s="19"/>
      <c r="C641" s="11"/>
      <c r="D641" s="11"/>
    </row>
    <row r="642" ht="15.75" customHeight="1">
      <c r="A642" s="11"/>
      <c r="B642" s="19"/>
      <c r="C642" s="11"/>
      <c r="D642" s="11"/>
    </row>
    <row r="643" ht="15.75" customHeight="1">
      <c r="A643" s="11"/>
      <c r="B643" s="19"/>
      <c r="C643" s="11"/>
      <c r="D643" s="11"/>
    </row>
    <row r="644" ht="15.75" customHeight="1">
      <c r="A644" s="11"/>
      <c r="B644" s="19"/>
      <c r="C644" s="11"/>
      <c r="D644" s="11"/>
    </row>
    <row r="645" ht="15.75" customHeight="1">
      <c r="A645" s="11"/>
      <c r="B645" s="19"/>
      <c r="C645" s="11"/>
      <c r="D645" s="11"/>
    </row>
    <row r="646" ht="15.75" customHeight="1">
      <c r="A646" s="11"/>
      <c r="B646" s="19"/>
      <c r="C646" s="11"/>
      <c r="D646" s="11"/>
    </row>
    <row r="647" ht="15.75" customHeight="1">
      <c r="A647" s="11"/>
      <c r="B647" s="19"/>
      <c r="C647" s="11"/>
      <c r="D647" s="11"/>
    </row>
    <row r="648" ht="15.75" customHeight="1">
      <c r="A648" s="11"/>
      <c r="B648" s="19"/>
      <c r="C648" s="11"/>
      <c r="D648" s="11"/>
    </row>
    <row r="649" ht="15.75" customHeight="1">
      <c r="A649" s="11"/>
      <c r="B649" s="19"/>
      <c r="C649" s="11"/>
      <c r="D649" s="11"/>
    </row>
    <row r="650" ht="15.75" customHeight="1">
      <c r="A650" s="11"/>
      <c r="B650" s="19"/>
      <c r="C650" s="11"/>
      <c r="D650" s="11"/>
    </row>
    <row r="651" ht="15.75" customHeight="1">
      <c r="A651" s="11"/>
      <c r="B651" s="19"/>
      <c r="C651" s="11"/>
      <c r="D651" s="11"/>
    </row>
    <row r="652" ht="15.75" customHeight="1">
      <c r="A652" s="11"/>
      <c r="B652" s="19"/>
      <c r="C652" s="11"/>
      <c r="D652" s="11"/>
    </row>
    <row r="653" ht="15.75" customHeight="1">
      <c r="A653" s="11"/>
      <c r="B653" s="19"/>
      <c r="C653" s="11"/>
      <c r="D653" s="11"/>
    </row>
    <row r="654" ht="15.75" customHeight="1">
      <c r="A654" s="11"/>
      <c r="B654" s="19"/>
      <c r="C654" s="11"/>
      <c r="D654" s="11"/>
    </row>
    <row r="655" ht="15.75" customHeight="1">
      <c r="A655" s="11"/>
      <c r="B655" s="19"/>
      <c r="C655" s="11"/>
      <c r="D655" s="11"/>
    </row>
    <row r="656" ht="15.75" customHeight="1">
      <c r="A656" s="11"/>
      <c r="B656" s="19"/>
      <c r="C656" s="11"/>
      <c r="D656" s="11"/>
    </row>
    <row r="657" ht="15.75" customHeight="1">
      <c r="A657" s="11"/>
      <c r="B657" s="19"/>
      <c r="C657" s="11"/>
      <c r="D657" s="11"/>
    </row>
    <row r="658" ht="15.75" customHeight="1">
      <c r="A658" s="11"/>
      <c r="B658" s="19"/>
      <c r="C658" s="11"/>
      <c r="D658" s="11"/>
    </row>
    <row r="659" ht="15.75" customHeight="1">
      <c r="A659" s="11"/>
      <c r="B659" s="19"/>
      <c r="C659" s="11"/>
      <c r="D659" s="11"/>
    </row>
    <row r="660" ht="15.75" customHeight="1">
      <c r="A660" s="11"/>
      <c r="B660" s="19"/>
      <c r="C660" s="11"/>
      <c r="D660" s="11"/>
    </row>
    <row r="661" ht="15.75" customHeight="1">
      <c r="A661" s="11"/>
      <c r="B661" s="19"/>
      <c r="C661" s="11"/>
      <c r="D661" s="11"/>
    </row>
    <row r="662" ht="15.75" customHeight="1">
      <c r="A662" s="11"/>
      <c r="B662" s="19"/>
      <c r="C662" s="11"/>
      <c r="D662" s="11"/>
    </row>
    <row r="663" ht="15.75" customHeight="1">
      <c r="A663" s="11"/>
      <c r="B663" s="19"/>
      <c r="C663" s="11"/>
      <c r="D663" s="11"/>
    </row>
    <row r="664" ht="15.75" customHeight="1">
      <c r="A664" s="11"/>
      <c r="B664" s="19"/>
      <c r="C664" s="11"/>
      <c r="D664" s="11"/>
    </row>
    <row r="665" ht="15.75" customHeight="1">
      <c r="A665" s="11"/>
      <c r="B665" s="19"/>
      <c r="C665" s="11"/>
      <c r="D665" s="11"/>
    </row>
    <row r="666" ht="15.75" customHeight="1">
      <c r="A666" s="11"/>
      <c r="B666" s="19"/>
      <c r="C666" s="11"/>
      <c r="D666" s="11"/>
    </row>
    <row r="667" ht="15.75" customHeight="1">
      <c r="A667" s="11"/>
      <c r="B667" s="19"/>
      <c r="C667" s="11"/>
      <c r="D667" s="11"/>
    </row>
    <row r="668" ht="15.75" customHeight="1">
      <c r="A668" s="11"/>
      <c r="B668" s="19"/>
      <c r="C668" s="11"/>
      <c r="D668" s="11"/>
    </row>
    <row r="669" ht="15.75" customHeight="1">
      <c r="A669" s="11"/>
      <c r="B669" s="19"/>
      <c r="C669" s="11"/>
      <c r="D669" s="11"/>
    </row>
    <row r="670" ht="15.75" customHeight="1">
      <c r="A670" s="11"/>
      <c r="B670" s="19"/>
      <c r="C670" s="11"/>
      <c r="D670" s="11"/>
    </row>
    <row r="671" ht="15.75" customHeight="1">
      <c r="A671" s="11"/>
      <c r="B671" s="19"/>
      <c r="C671" s="11"/>
      <c r="D671" s="11"/>
    </row>
    <row r="672" ht="15.75" customHeight="1">
      <c r="A672" s="11"/>
      <c r="B672" s="19"/>
      <c r="C672" s="11"/>
      <c r="D672" s="11"/>
    </row>
    <row r="673" ht="15.75" customHeight="1">
      <c r="A673" s="11"/>
      <c r="B673" s="19"/>
      <c r="C673" s="11"/>
      <c r="D673" s="11"/>
    </row>
    <row r="674" ht="15.75" customHeight="1">
      <c r="A674" s="11"/>
      <c r="B674" s="19"/>
      <c r="C674" s="11"/>
      <c r="D674" s="11"/>
    </row>
    <row r="675" ht="15.75" customHeight="1">
      <c r="A675" s="11"/>
      <c r="B675" s="19"/>
      <c r="C675" s="11"/>
      <c r="D675" s="11"/>
    </row>
    <row r="676" ht="15.75" customHeight="1">
      <c r="A676" s="11"/>
      <c r="B676" s="19"/>
      <c r="C676" s="11"/>
      <c r="D676" s="11"/>
    </row>
    <row r="677" ht="15.75" customHeight="1">
      <c r="A677" s="11"/>
      <c r="B677" s="19"/>
      <c r="C677" s="11"/>
      <c r="D677" s="11"/>
    </row>
    <row r="678" ht="15.75" customHeight="1">
      <c r="A678" s="11"/>
      <c r="B678" s="19"/>
      <c r="C678" s="11"/>
      <c r="D678" s="11"/>
    </row>
    <row r="679" ht="15.75" customHeight="1">
      <c r="A679" s="11"/>
      <c r="B679" s="19"/>
      <c r="C679" s="11"/>
      <c r="D679" s="11"/>
    </row>
    <row r="680" ht="15.75" customHeight="1">
      <c r="A680" s="11"/>
      <c r="B680" s="19"/>
      <c r="C680" s="11"/>
      <c r="D680" s="11"/>
    </row>
    <row r="681" ht="15.75" customHeight="1">
      <c r="A681" s="11"/>
      <c r="B681" s="19"/>
      <c r="C681" s="11"/>
      <c r="D681" s="11"/>
    </row>
    <row r="682" ht="15.75" customHeight="1">
      <c r="A682" s="11"/>
      <c r="B682" s="19"/>
      <c r="C682" s="11"/>
      <c r="D682" s="11"/>
    </row>
    <row r="683" ht="15.75" customHeight="1">
      <c r="A683" s="11"/>
      <c r="B683" s="19"/>
      <c r="C683" s="11"/>
      <c r="D683" s="11"/>
    </row>
    <row r="684" ht="15.75" customHeight="1">
      <c r="A684" s="11"/>
      <c r="B684" s="19"/>
      <c r="C684" s="11"/>
      <c r="D684" s="11"/>
    </row>
    <row r="685" ht="15.75" customHeight="1">
      <c r="A685" s="11"/>
      <c r="B685" s="19"/>
      <c r="C685" s="11"/>
      <c r="D685" s="11"/>
    </row>
    <row r="686" ht="15.75" customHeight="1">
      <c r="A686" s="11"/>
      <c r="B686" s="19"/>
      <c r="C686" s="11"/>
      <c r="D686" s="11"/>
    </row>
    <row r="687" ht="15.75" customHeight="1">
      <c r="A687" s="11"/>
      <c r="B687" s="19"/>
      <c r="C687" s="11"/>
      <c r="D687" s="11"/>
    </row>
    <row r="688" ht="15.75" customHeight="1">
      <c r="A688" s="11"/>
      <c r="B688" s="19"/>
      <c r="C688" s="11"/>
      <c r="D688" s="11"/>
    </row>
    <row r="689" ht="15.75" customHeight="1">
      <c r="A689" s="11"/>
      <c r="B689" s="19"/>
      <c r="C689" s="11"/>
      <c r="D689" s="11"/>
    </row>
    <row r="690" ht="15.75" customHeight="1">
      <c r="A690" s="11"/>
      <c r="B690" s="19"/>
      <c r="C690" s="11"/>
      <c r="D690" s="11"/>
    </row>
    <row r="691" ht="15.75" customHeight="1">
      <c r="A691" s="11"/>
      <c r="B691" s="19"/>
      <c r="C691" s="11"/>
      <c r="D691" s="11"/>
    </row>
    <row r="692" ht="15.75" customHeight="1">
      <c r="A692" s="11"/>
      <c r="B692" s="19"/>
      <c r="C692" s="11"/>
      <c r="D692" s="11"/>
    </row>
    <row r="693" ht="15.75" customHeight="1">
      <c r="A693" s="11"/>
      <c r="B693" s="19"/>
      <c r="C693" s="11"/>
      <c r="D693" s="11"/>
    </row>
    <row r="694" ht="15.75" customHeight="1">
      <c r="A694" s="11"/>
      <c r="B694" s="19"/>
      <c r="C694" s="11"/>
      <c r="D694" s="11"/>
    </row>
    <row r="695" ht="15.75" customHeight="1">
      <c r="A695" s="11"/>
      <c r="B695" s="19"/>
      <c r="C695" s="11"/>
      <c r="D695" s="11"/>
    </row>
    <row r="696" ht="15.75" customHeight="1">
      <c r="A696" s="11"/>
      <c r="B696" s="19"/>
      <c r="C696" s="11"/>
      <c r="D696" s="11"/>
    </row>
    <row r="697" ht="15.75" customHeight="1">
      <c r="A697" s="11"/>
      <c r="B697" s="19"/>
      <c r="C697" s="11"/>
      <c r="D697" s="11"/>
    </row>
    <row r="698" ht="15.75" customHeight="1">
      <c r="A698" s="11"/>
      <c r="B698" s="19"/>
      <c r="C698" s="11"/>
      <c r="D698" s="11"/>
    </row>
    <row r="699" ht="15.75" customHeight="1">
      <c r="A699" s="11"/>
      <c r="B699" s="19"/>
      <c r="C699" s="11"/>
      <c r="D699" s="11"/>
    </row>
    <row r="700" ht="15.75" customHeight="1">
      <c r="A700" s="11"/>
      <c r="B700" s="19"/>
      <c r="C700" s="11"/>
      <c r="D700" s="11"/>
    </row>
    <row r="701" ht="15.75" customHeight="1">
      <c r="A701" s="11"/>
      <c r="B701" s="19"/>
      <c r="C701" s="11"/>
      <c r="D701" s="11"/>
    </row>
    <row r="702" ht="15.75" customHeight="1">
      <c r="A702" s="11"/>
      <c r="B702" s="19"/>
      <c r="C702" s="11"/>
      <c r="D702" s="11"/>
    </row>
    <row r="703" ht="15.75" customHeight="1">
      <c r="A703" s="11"/>
      <c r="B703" s="19"/>
      <c r="C703" s="11"/>
      <c r="D703" s="11"/>
    </row>
    <row r="704" ht="15.75" customHeight="1">
      <c r="A704" s="11"/>
      <c r="B704" s="19"/>
      <c r="C704" s="11"/>
      <c r="D704" s="11"/>
    </row>
    <row r="705" ht="15.75" customHeight="1">
      <c r="A705" s="11"/>
      <c r="B705" s="19"/>
      <c r="C705" s="11"/>
      <c r="D705" s="11"/>
    </row>
    <row r="706" ht="15.75" customHeight="1">
      <c r="A706" s="11"/>
      <c r="B706" s="19"/>
      <c r="C706" s="11"/>
      <c r="D706" s="11"/>
    </row>
    <row r="707" ht="15.75" customHeight="1">
      <c r="A707" s="11"/>
      <c r="B707" s="19"/>
      <c r="C707" s="11"/>
      <c r="D707" s="11"/>
    </row>
    <row r="708" ht="15.75" customHeight="1">
      <c r="A708" s="11"/>
      <c r="B708" s="19"/>
      <c r="C708" s="11"/>
      <c r="D708" s="11"/>
    </row>
    <row r="709" ht="15.75" customHeight="1">
      <c r="A709" s="11"/>
      <c r="B709" s="19"/>
      <c r="C709" s="11"/>
      <c r="D709" s="11"/>
    </row>
    <row r="710" ht="15.75" customHeight="1">
      <c r="A710" s="11"/>
      <c r="B710" s="19"/>
      <c r="C710" s="11"/>
      <c r="D710" s="11"/>
    </row>
    <row r="711" ht="15.75" customHeight="1">
      <c r="A711" s="11"/>
      <c r="B711" s="19"/>
      <c r="C711" s="11"/>
      <c r="D711" s="11"/>
    </row>
    <row r="712" ht="15.75" customHeight="1">
      <c r="A712" s="11"/>
      <c r="B712" s="19"/>
      <c r="C712" s="11"/>
      <c r="D712" s="11"/>
    </row>
    <row r="713" ht="15.75" customHeight="1">
      <c r="A713" s="11"/>
      <c r="B713" s="19"/>
      <c r="C713" s="11"/>
      <c r="D713" s="11"/>
    </row>
    <row r="714" ht="15.75" customHeight="1">
      <c r="A714" s="11"/>
      <c r="B714" s="19"/>
      <c r="C714" s="11"/>
      <c r="D714" s="11"/>
    </row>
    <row r="715" ht="15.75" customHeight="1">
      <c r="A715" s="11"/>
      <c r="B715" s="19"/>
      <c r="C715" s="11"/>
      <c r="D715" s="11"/>
    </row>
    <row r="716" ht="15.75" customHeight="1">
      <c r="A716" s="11"/>
      <c r="B716" s="19"/>
      <c r="C716" s="11"/>
      <c r="D716" s="11"/>
    </row>
    <row r="717" ht="15.75" customHeight="1">
      <c r="A717" s="11"/>
      <c r="B717" s="19"/>
      <c r="C717" s="11"/>
      <c r="D717" s="11"/>
    </row>
    <row r="718" ht="15.75" customHeight="1">
      <c r="A718" s="11"/>
      <c r="B718" s="19"/>
      <c r="C718" s="11"/>
      <c r="D718" s="11"/>
    </row>
    <row r="719" ht="15.75" customHeight="1">
      <c r="A719" s="11"/>
      <c r="B719" s="19"/>
      <c r="C719" s="11"/>
      <c r="D719" s="11"/>
    </row>
    <row r="720" ht="15.75" customHeight="1">
      <c r="A720" s="11"/>
      <c r="B720" s="19"/>
      <c r="C720" s="11"/>
      <c r="D720" s="11"/>
    </row>
    <row r="721" ht="15.75" customHeight="1">
      <c r="A721" s="11"/>
      <c r="B721" s="19"/>
      <c r="C721" s="11"/>
      <c r="D721" s="11"/>
    </row>
    <row r="722" ht="15.75" customHeight="1">
      <c r="A722" s="11"/>
      <c r="B722" s="19"/>
      <c r="C722" s="11"/>
      <c r="D722" s="11"/>
    </row>
    <row r="723" ht="15.75" customHeight="1">
      <c r="A723" s="11"/>
      <c r="B723" s="19"/>
      <c r="C723" s="11"/>
      <c r="D723" s="11"/>
    </row>
    <row r="724" ht="15.75" customHeight="1">
      <c r="A724" s="11"/>
      <c r="B724" s="19"/>
      <c r="C724" s="11"/>
      <c r="D724" s="11"/>
    </row>
    <row r="725" ht="15.75" customHeight="1">
      <c r="A725" s="11"/>
      <c r="B725" s="19"/>
      <c r="C725" s="11"/>
      <c r="D725" s="11"/>
    </row>
    <row r="726" ht="15.75" customHeight="1">
      <c r="A726" s="11"/>
      <c r="B726" s="19"/>
      <c r="C726" s="11"/>
      <c r="D726" s="11"/>
    </row>
    <row r="727" ht="15.75" customHeight="1">
      <c r="A727" s="11"/>
      <c r="B727" s="19"/>
      <c r="C727" s="11"/>
      <c r="D727" s="11"/>
    </row>
    <row r="728" ht="15.75" customHeight="1">
      <c r="A728" s="11"/>
      <c r="B728" s="19"/>
      <c r="C728" s="11"/>
      <c r="D728" s="11"/>
    </row>
    <row r="729" ht="15.75" customHeight="1">
      <c r="A729" s="11"/>
      <c r="B729" s="19"/>
      <c r="C729" s="11"/>
      <c r="D729" s="11"/>
    </row>
    <row r="730" ht="15.75" customHeight="1">
      <c r="A730" s="11"/>
      <c r="B730" s="19"/>
      <c r="C730" s="11"/>
      <c r="D730" s="11"/>
    </row>
    <row r="731" ht="15.75" customHeight="1">
      <c r="A731" s="11"/>
      <c r="B731" s="19"/>
      <c r="C731" s="11"/>
      <c r="D731" s="11"/>
    </row>
    <row r="732" ht="15.75" customHeight="1">
      <c r="A732" s="11"/>
      <c r="B732" s="19"/>
      <c r="C732" s="11"/>
      <c r="D732" s="11"/>
    </row>
    <row r="733" ht="15.75" customHeight="1">
      <c r="A733" s="11"/>
      <c r="B733" s="19"/>
      <c r="C733" s="11"/>
      <c r="D733" s="11"/>
    </row>
    <row r="734" ht="15.75" customHeight="1">
      <c r="A734" s="11"/>
      <c r="B734" s="19"/>
      <c r="C734" s="11"/>
      <c r="D734" s="11"/>
    </row>
    <row r="735" ht="15.75" customHeight="1">
      <c r="A735" s="11"/>
      <c r="B735" s="19"/>
      <c r="C735" s="11"/>
      <c r="D735" s="11"/>
    </row>
    <row r="736" ht="15.75" customHeight="1">
      <c r="A736" s="11"/>
      <c r="B736" s="19"/>
      <c r="C736" s="11"/>
      <c r="D736" s="11"/>
    </row>
    <row r="737" ht="15.75" customHeight="1">
      <c r="A737" s="11"/>
      <c r="B737" s="19"/>
      <c r="C737" s="11"/>
      <c r="D737" s="11"/>
    </row>
    <row r="738" ht="15.75" customHeight="1">
      <c r="A738" s="11"/>
      <c r="B738" s="19"/>
      <c r="C738" s="11"/>
      <c r="D738" s="11"/>
    </row>
    <row r="739" ht="15.75" customHeight="1">
      <c r="A739" s="11"/>
      <c r="B739" s="19"/>
      <c r="C739" s="11"/>
      <c r="D739" s="11"/>
    </row>
    <row r="740" ht="15.75" customHeight="1">
      <c r="A740" s="11"/>
      <c r="B740" s="19"/>
      <c r="C740" s="11"/>
      <c r="D740" s="11"/>
    </row>
    <row r="741" ht="15.75" customHeight="1">
      <c r="A741" s="11"/>
      <c r="B741" s="19"/>
      <c r="C741" s="11"/>
      <c r="D741" s="11"/>
    </row>
    <row r="742" ht="15.75" customHeight="1">
      <c r="A742" s="11"/>
      <c r="B742" s="19"/>
      <c r="C742" s="11"/>
      <c r="D742" s="11"/>
    </row>
    <row r="743" ht="15.75" customHeight="1">
      <c r="A743" s="11"/>
      <c r="B743" s="19"/>
      <c r="C743" s="11"/>
      <c r="D743" s="11"/>
    </row>
    <row r="744" ht="15.75" customHeight="1">
      <c r="A744" s="11"/>
      <c r="B744" s="19"/>
      <c r="C744" s="11"/>
      <c r="D744" s="11"/>
    </row>
    <row r="745" ht="15.75" customHeight="1">
      <c r="A745" s="11"/>
      <c r="B745" s="19"/>
      <c r="C745" s="11"/>
      <c r="D745" s="11"/>
    </row>
    <row r="746" ht="15.75" customHeight="1">
      <c r="A746" s="11"/>
      <c r="B746" s="19"/>
      <c r="C746" s="11"/>
      <c r="D746" s="11"/>
    </row>
    <row r="747" ht="15.75" customHeight="1">
      <c r="A747" s="11"/>
      <c r="B747" s="19"/>
      <c r="C747" s="11"/>
      <c r="D747" s="11"/>
    </row>
    <row r="748" ht="15.75" customHeight="1">
      <c r="A748" s="11"/>
      <c r="B748" s="19"/>
      <c r="C748" s="11"/>
      <c r="D748" s="11"/>
    </row>
    <row r="749" ht="15.75" customHeight="1">
      <c r="A749" s="11"/>
      <c r="B749" s="19"/>
      <c r="C749" s="11"/>
      <c r="D749" s="11"/>
    </row>
    <row r="750" ht="15.75" customHeight="1">
      <c r="A750" s="11"/>
      <c r="B750" s="19"/>
      <c r="C750" s="11"/>
      <c r="D750" s="11"/>
    </row>
    <row r="751" ht="15.75" customHeight="1">
      <c r="A751" s="11"/>
      <c r="B751" s="19"/>
      <c r="C751" s="11"/>
      <c r="D751" s="11"/>
    </row>
    <row r="752" ht="15.75" customHeight="1">
      <c r="A752" s="11"/>
      <c r="B752" s="19"/>
      <c r="C752" s="11"/>
      <c r="D752" s="11"/>
    </row>
    <row r="753" ht="15.75" customHeight="1">
      <c r="A753" s="11"/>
      <c r="B753" s="19"/>
      <c r="C753" s="11"/>
      <c r="D753" s="11"/>
    </row>
    <row r="754" ht="15.75" customHeight="1">
      <c r="A754" s="11"/>
      <c r="B754" s="19"/>
      <c r="C754" s="11"/>
      <c r="D754" s="11"/>
    </row>
    <row r="755" ht="15.75" customHeight="1">
      <c r="A755" s="11"/>
      <c r="B755" s="19"/>
      <c r="C755" s="11"/>
      <c r="D755" s="11"/>
    </row>
    <row r="756" ht="15.75" customHeight="1">
      <c r="A756" s="11"/>
      <c r="B756" s="19"/>
      <c r="C756" s="11"/>
      <c r="D756" s="11"/>
    </row>
    <row r="757" ht="15.75" customHeight="1">
      <c r="A757" s="11"/>
      <c r="B757" s="19"/>
      <c r="C757" s="11"/>
      <c r="D757" s="11"/>
    </row>
    <row r="758" ht="15.75" customHeight="1">
      <c r="A758" s="11"/>
      <c r="B758" s="19"/>
      <c r="C758" s="11"/>
      <c r="D758" s="11"/>
    </row>
    <row r="759" ht="15.75" customHeight="1">
      <c r="A759" s="11"/>
      <c r="B759" s="19"/>
      <c r="C759" s="11"/>
      <c r="D759" s="11"/>
    </row>
    <row r="760" ht="15.75" customHeight="1">
      <c r="A760" s="11"/>
      <c r="B760" s="19"/>
      <c r="C760" s="11"/>
      <c r="D760" s="11"/>
    </row>
    <row r="761" ht="15.75" customHeight="1">
      <c r="A761" s="11"/>
      <c r="B761" s="19"/>
      <c r="C761" s="11"/>
      <c r="D761" s="11"/>
    </row>
    <row r="762" ht="15.75" customHeight="1">
      <c r="A762" s="11"/>
      <c r="B762" s="19"/>
      <c r="C762" s="11"/>
      <c r="D762" s="11"/>
    </row>
    <row r="763" ht="15.75" customHeight="1">
      <c r="A763" s="11"/>
      <c r="B763" s="19"/>
      <c r="C763" s="11"/>
      <c r="D763" s="11"/>
    </row>
    <row r="764" ht="15.75" customHeight="1">
      <c r="A764" s="11"/>
      <c r="B764" s="19"/>
      <c r="C764" s="11"/>
      <c r="D764" s="11"/>
    </row>
    <row r="765" ht="15.75" customHeight="1">
      <c r="A765" s="11"/>
      <c r="B765" s="19"/>
      <c r="C765" s="11"/>
      <c r="D765" s="11"/>
    </row>
    <row r="766" ht="15.75" customHeight="1">
      <c r="A766" s="11"/>
      <c r="B766" s="19"/>
      <c r="C766" s="11"/>
      <c r="D766" s="11"/>
    </row>
    <row r="767" ht="15.75" customHeight="1">
      <c r="A767" s="11"/>
      <c r="B767" s="19"/>
      <c r="C767" s="11"/>
      <c r="D767" s="11"/>
    </row>
    <row r="768" ht="15.75" customHeight="1">
      <c r="A768" s="11"/>
      <c r="B768" s="19"/>
      <c r="C768" s="11"/>
      <c r="D768" s="11"/>
    </row>
    <row r="769" ht="15.75" customHeight="1">
      <c r="A769" s="11"/>
      <c r="B769" s="19"/>
      <c r="C769" s="11"/>
      <c r="D769" s="11"/>
    </row>
    <row r="770" ht="15.75" customHeight="1">
      <c r="A770" s="11"/>
      <c r="B770" s="19"/>
      <c r="C770" s="11"/>
      <c r="D770" s="11"/>
    </row>
    <row r="771" ht="15.75" customHeight="1">
      <c r="A771" s="11"/>
      <c r="B771" s="19"/>
      <c r="C771" s="11"/>
      <c r="D771" s="11"/>
    </row>
    <row r="772" ht="15.75" customHeight="1">
      <c r="A772" s="11"/>
      <c r="B772" s="19"/>
      <c r="C772" s="11"/>
      <c r="D772" s="11"/>
    </row>
    <row r="773" ht="15.75" customHeight="1">
      <c r="A773" s="11"/>
      <c r="B773" s="19"/>
      <c r="C773" s="11"/>
      <c r="D773" s="11"/>
    </row>
    <row r="774" ht="15.75" customHeight="1">
      <c r="A774" s="11"/>
      <c r="B774" s="19"/>
      <c r="C774" s="11"/>
      <c r="D774" s="11"/>
    </row>
    <row r="775" ht="15.75" customHeight="1">
      <c r="A775" s="11"/>
      <c r="B775" s="19"/>
      <c r="C775" s="11"/>
      <c r="D775" s="11"/>
    </row>
    <row r="776" ht="15.75" customHeight="1">
      <c r="A776" s="11"/>
      <c r="B776" s="19"/>
      <c r="C776" s="11"/>
      <c r="D776" s="11"/>
    </row>
    <row r="777" ht="15.75" customHeight="1">
      <c r="A777" s="11"/>
      <c r="B777" s="19"/>
      <c r="C777" s="11"/>
      <c r="D777" s="11"/>
    </row>
    <row r="778" ht="15.75" customHeight="1">
      <c r="A778" s="11"/>
      <c r="B778" s="19"/>
      <c r="C778" s="11"/>
      <c r="D778" s="11"/>
    </row>
    <row r="779" ht="15.75" customHeight="1">
      <c r="A779" s="11"/>
      <c r="B779" s="19"/>
      <c r="C779" s="11"/>
      <c r="D779" s="11"/>
    </row>
    <row r="780" ht="15.75" customHeight="1">
      <c r="A780" s="11"/>
      <c r="B780" s="19"/>
      <c r="C780" s="11"/>
      <c r="D780" s="11"/>
    </row>
    <row r="781" ht="15.75" customHeight="1">
      <c r="A781" s="11"/>
      <c r="B781" s="19"/>
      <c r="C781" s="11"/>
      <c r="D781" s="11"/>
    </row>
    <row r="782" ht="15.75" customHeight="1">
      <c r="A782" s="11"/>
      <c r="B782" s="19"/>
      <c r="C782" s="11"/>
      <c r="D782" s="11"/>
    </row>
    <row r="783" ht="15.75" customHeight="1">
      <c r="A783" s="11"/>
      <c r="B783" s="19"/>
      <c r="C783" s="11"/>
      <c r="D783" s="11"/>
    </row>
    <row r="784" ht="15.75" customHeight="1">
      <c r="A784" s="11"/>
      <c r="B784" s="19"/>
      <c r="C784" s="11"/>
      <c r="D784" s="11"/>
    </row>
    <row r="785" ht="15.75" customHeight="1">
      <c r="A785" s="11"/>
      <c r="B785" s="19"/>
      <c r="C785" s="11"/>
      <c r="D785" s="11"/>
    </row>
    <row r="786" ht="15.75" customHeight="1">
      <c r="A786" s="11"/>
      <c r="B786" s="19"/>
      <c r="C786" s="11"/>
      <c r="D786" s="11"/>
    </row>
    <row r="787" ht="15.75" customHeight="1">
      <c r="A787" s="11"/>
      <c r="B787" s="19"/>
      <c r="C787" s="11"/>
      <c r="D787" s="11"/>
    </row>
    <row r="788" ht="15.75" customHeight="1">
      <c r="A788" s="11"/>
      <c r="B788" s="19"/>
      <c r="C788" s="11"/>
      <c r="D788" s="11"/>
    </row>
    <row r="789" ht="15.75" customHeight="1">
      <c r="A789" s="11"/>
      <c r="B789" s="19"/>
      <c r="C789" s="11"/>
      <c r="D789" s="11"/>
    </row>
    <row r="790" ht="15.75" customHeight="1">
      <c r="A790" s="11"/>
      <c r="B790" s="19"/>
      <c r="C790" s="11"/>
      <c r="D790" s="11"/>
    </row>
    <row r="791" ht="15.75" customHeight="1">
      <c r="A791" s="11"/>
      <c r="B791" s="19"/>
      <c r="C791" s="11"/>
      <c r="D791" s="11"/>
    </row>
    <row r="792" ht="15.75" customHeight="1">
      <c r="A792" s="11"/>
      <c r="B792" s="19"/>
      <c r="C792" s="11"/>
      <c r="D792" s="11"/>
    </row>
    <row r="793" ht="15.75" customHeight="1">
      <c r="A793" s="11"/>
      <c r="B793" s="19"/>
      <c r="C793" s="11"/>
      <c r="D793" s="11"/>
    </row>
    <row r="794" ht="15.75" customHeight="1">
      <c r="A794" s="11"/>
      <c r="B794" s="19"/>
      <c r="C794" s="11"/>
      <c r="D794" s="11"/>
    </row>
    <row r="795" ht="15.75" customHeight="1">
      <c r="A795" s="11"/>
      <c r="B795" s="19"/>
      <c r="C795" s="11"/>
      <c r="D795" s="11"/>
    </row>
    <row r="796" ht="15.75" customHeight="1">
      <c r="A796" s="11"/>
      <c r="B796" s="19"/>
      <c r="C796" s="11"/>
      <c r="D796" s="11"/>
    </row>
    <row r="797" ht="15.75" customHeight="1">
      <c r="A797" s="11"/>
      <c r="B797" s="19"/>
      <c r="C797" s="11"/>
      <c r="D797" s="11"/>
    </row>
    <row r="798" ht="15.75" customHeight="1">
      <c r="A798" s="11"/>
      <c r="B798" s="19"/>
      <c r="C798" s="11"/>
      <c r="D798" s="11"/>
    </row>
    <row r="799" ht="15.75" customHeight="1">
      <c r="A799" s="11"/>
      <c r="B799" s="19"/>
      <c r="C799" s="11"/>
      <c r="D799" s="11"/>
    </row>
    <row r="800" ht="15.75" customHeight="1">
      <c r="A800" s="11"/>
      <c r="B800" s="19"/>
      <c r="C800" s="11"/>
      <c r="D800" s="11"/>
    </row>
    <row r="801" ht="15.75" customHeight="1">
      <c r="A801" s="11"/>
      <c r="B801" s="19"/>
      <c r="C801" s="11"/>
      <c r="D801" s="11"/>
    </row>
    <row r="802" ht="15.75" customHeight="1">
      <c r="A802" s="11"/>
      <c r="B802" s="19"/>
      <c r="C802" s="11"/>
      <c r="D802" s="11"/>
    </row>
    <row r="803" ht="15.75" customHeight="1">
      <c r="A803" s="11"/>
      <c r="B803" s="19"/>
      <c r="C803" s="11"/>
      <c r="D803" s="11"/>
    </row>
    <row r="804" ht="15.75" customHeight="1">
      <c r="A804" s="11"/>
      <c r="B804" s="19"/>
      <c r="C804" s="11"/>
      <c r="D804" s="11"/>
    </row>
    <row r="805" ht="15.75" customHeight="1">
      <c r="A805" s="11"/>
      <c r="B805" s="19"/>
      <c r="C805" s="11"/>
      <c r="D805" s="11"/>
    </row>
    <row r="806" ht="15.75" customHeight="1">
      <c r="A806" s="11"/>
      <c r="B806" s="19"/>
      <c r="C806" s="11"/>
      <c r="D806" s="11"/>
    </row>
    <row r="807" ht="15.75" customHeight="1">
      <c r="A807" s="11"/>
      <c r="B807" s="19"/>
      <c r="C807" s="11"/>
      <c r="D807" s="11"/>
    </row>
    <row r="808" ht="15.75" customHeight="1">
      <c r="A808" s="11"/>
      <c r="B808" s="19"/>
      <c r="C808" s="11"/>
      <c r="D808" s="11"/>
    </row>
    <row r="809" ht="15.75" customHeight="1">
      <c r="A809" s="11"/>
      <c r="B809" s="19"/>
      <c r="C809" s="11"/>
      <c r="D809" s="11"/>
    </row>
    <row r="810" ht="15.75" customHeight="1">
      <c r="A810" s="11"/>
      <c r="B810" s="19"/>
      <c r="C810" s="11"/>
      <c r="D810" s="11"/>
    </row>
    <row r="811" ht="15.75" customHeight="1">
      <c r="A811" s="11"/>
      <c r="B811" s="19"/>
      <c r="C811" s="11"/>
      <c r="D811" s="11"/>
    </row>
    <row r="812" ht="15.75" customHeight="1">
      <c r="A812" s="11"/>
      <c r="B812" s="19"/>
      <c r="C812" s="11"/>
      <c r="D812" s="11"/>
    </row>
    <row r="813" ht="15.75" customHeight="1">
      <c r="A813" s="11"/>
      <c r="B813" s="19"/>
      <c r="C813" s="11"/>
      <c r="D813" s="11"/>
    </row>
    <row r="814" ht="15.75" customHeight="1">
      <c r="A814" s="11"/>
      <c r="B814" s="19"/>
      <c r="C814" s="11"/>
      <c r="D814" s="11"/>
    </row>
    <row r="815" ht="15.75" customHeight="1">
      <c r="A815" s="11"/>
      <c r="B815" s="19"/>
      <c r="C815" s="11"/>
      <c r="D815" s="11"/>
    </row>
    <row r="816" ht="15.75" customHeight="1">
      <c r="A816" s="11"/>
      <c r="B816" s="19"/>
      <c r="C816" s="11"/>
      <c r="D816" s="11"/>
    </row>
    <row r="817" ht="15.75" customHeight="1">
      <c r="A817" s="11"/>
      <c r="B817" s="19"/>
      <c r="C817" s="11"/>
      <c r="D817" s="11"/>
    </row>
    <row r="818" ht="15.75" customHeight="1">
      <c r="A818" s="11"/>
      <c r="B818" s="19"/>
      <c r="C818" s="11"/>
      <c r="D818" s="11"/>
    </row>
    <row r="819" ht="15.75" customHeight="1">
      <c r="A819" s="11"/>
      <c r="B819" s="19"/>
      <c r="C819" s="11"/>
      <c r="D819" s="11"/>
    </row>
    <row r="820" ht="15.75" customHeight="1">
      <c r="A820" s="11"/>
      <c r="B820" s="19"/>
      <c r="C820" s="11"/>
      <c r="D820" s="11"/>
    </row>
    <row r="821" ht="15.75" customHeight="1">
      <c r="A821" s="11"/>
      <c r="B821" s="19"/>
      <c r="C821" s="11"/>
      <c r="D821" s="11"/>
    </row>
    <row r="822" ht="15.75" customHeight="1">
      <c r="A822" s="11"/>
      <c r="B822" s="19"/>
      <c r="C822" s="11"/>
      <c r="D822" s="11"/>
    </row>
    <row r="823" ht="15.75" customHeight="1">
      <c r="A823" s="11"/>
      <c r="B823" s="19"/>
      <c r="C823" s="11"/>
      <c r="D823" s="11"/>
    </row>
    <row r="824" ht="15.75" customHeight="1">
      <c r="A824" s="11"/>
      <c r="B824" s="19"/>
      <c r="C824" s="11"/>
      <c r="D824" s="11"/>
    </row>
    <row r="825" ht="15.75" customHeight="1">
      <c r="A825" s="11"/>
      <c r="B825" s="19"/>
      <c r="C825" s="11"/>
      <c r="D825" s="11"/>
    </row>
    <row r="826" ht="15.75" customHeight="1">
      <c r="A826" s="11"/>
      <c r="B826" s="19"/>
      <c r="C826" s="11"/>
      <c r="D826" s="11"/>
    </row>
    <row r="827" ht="15.75" customHeight="1">
      <c r="A827" s="11"/>
      <c r="B827" s="19"/>
      <c r="C827" s="11"/>
      <c r="D827" s="11"/>
    </row>
    <row r="828" ht="15.75" customHeight="1">
      <c r="A828" s="11"/>
      <c r="B828" s="19"/>
      <c r="C828" s="11"/>
      <c r="D828" s="11"/>
    </row>
    <row r="829" ht="15.75" customHeight="1">
      <c r="A829" s="11"/>
      <c r="B829" s="19"/>
      <c r="C829" s="11"/>
      <c r="D829" s="11"/>
    </row>
    <row r="830" ht="15.75" customHeight="1">
      <c r="A830" s="11"/>
      <c r="B830" s="19"/>
      <c r="C830" s="11"/>
      <c r="D830" s="11"/>
    </row>
    <row r="831" ht="15.75" customHeight="1">
      <c r="A831" s="11"/>
      <c r="B831" s="19"/>
      <c r="C831" s="11"/>
      <c r="D831" s="11"/>
    </row>
    <row r="832" ht="15.75" customHeight="1">
      <c r="A832" s="11"/>
      <c r="B832" s="19"/>
      <c r="C832" s="11"/>
      <c r="D832" s="11"/>
    </row>
    <row r="833" ht="15.75" customHeight="1">
      <c r="A833" s="11"/>
      <c r="B833" s="19"/>
      <c r="C833" s="11"/>
      <c r="D833" s="11"/>
    </row>
    <row r="834" ht="15.75" customHeight="1">
      <c r="A834" s="11"/>
      <c r="B834" s="19"/>
      <c r="C834" s="11"/>
      <c r="D834" s="11"/>
    </row>
    <row r="835" ht="15.75" customHeight="1">
      <c r="A835" s="11"/>
      <c r="B835" s="19"/>
      <c r="C835" s="11"/>
      <c r="D835" s="11"/>
    </row>
    <row r="836" ht="15.75" customHeight="1">
      <c r="A836" s="11"/>
      <c r="B836" s="19"/>
      <c r="C836" s="11"/>
      <c r="D836" s="11"/>
    </row>
    <row r="837" ht="15.75" customHeight="1">
      <c r="A837" s="11"/>
      <c r="B837" s="19"/>
      <c r="C837" s="11"/>
      <c r="D837" s="11"/>
    </row>
    <row r="838" ht="15.75" customHeight="1">
      <c r="A838" s="11"/>
      <c r="B838" s="19"/>
      <c r="C838" s="11"/>
      <c r="D838" s="11"/>
    </row>
    <row r="839" ht="15.75" customHeight="1">
      <c r="A839" s="11"/>
      <c r="B839" s="19"/>
      <c r="C839" s="11"/>
      <c r="D839" s="11"/>
    </row>
    <row r="840" ht="15.75" customHeight="1">
      <c r="A840" s="11"/>
      <c r="B840" s="19"/>
      <c r="C840" s="11"/>
      <c r="D840" s="11"/>
    </row>
    <row r="841" ht="15.75" customHeight="1">
      <c r="A841" s="11"/>
      <c r="B841" s="19"/>
      <c r="C841" s="11"/>
      <c r="D841" s="11"/>
    </row>
    <row r="842" ht="15.75" customHeight="1">
      <c r="A842" s="11"/>
      <c r="B842" s="19"/>
      <c r="C842" s="11"/>
      <c r="D842" s="11"/>
    </row>
    <row r="843" ht="15.75" customHeight="1">
      <c r="A843" s="11"/>
      <c r="B843" s="19"/>
      <c r="C843" s="11"/>
      <c r="D843" s="11"/>
    </row>
    <row r="844" ht="15.75" customHeight="1">
      <c r="A844" s="11"/>
      <c r="B844" s="19"/>
      <c r="C844" s="11"/>
      <c r="D844" s="11"/>
    </row>
    <row r="845" ht="15.75" customHeight="1">
      <c r="A845" s="11"/>
      <c r="B845" s="19"/>
      <c r="C845" s="11"/>
      <c r="D845" s="11"/>
    </row>
    <row r="846" ht="15.75" customHeight="1">
      <c r="A846" s="11"/>
      <c r="B846" s="19"/>
      <c r="C846" s="11"/>
      <c r="D846" s="11"/>
    </row>
    <row r="847" ht="15.75" customHeight="1">
      <c r="A847" s="11"/>
      <c r="B847" s="19"/>
      <c r="C847" s="11"/>
      <c r="D847" s="11"/>
    </row>
    <row r="848" ht="15.75" customHeight="1">
      <c r="A848" s="11"/>
      <c r="B848" s="19"/>
      <c r="C848" s="11"/>
      <c r="D848" s="11"/>
    </row>
    <row r="849" ht="15.75" customHeight="1">
      <c r="A849" s="11"/>
      <c r="B849" s="19"/>
      <c r="C849" s="11"/>
      <c r="D849" s="11"/>
    </row>
    <row r="850" ht="15.75" customHeight="1">
      <c r="A850" s="11"/>
      <c r="B850" s="19"/>
      <c r="C850" s="11"/>
      <c r="D850" s="11"/>
    </row>
    <row r="851" ht="15.75" customHeight="1">
      <c r="A851" s="11"/>
      <c r="B851" s="19"/>
      <c r="C851" s="11"/>
      <c r="D851" s="11"/>
    </row>
    <row r="852" ht="15.75" customHeight="1">
      <c r="A852" s="11"/>
      <c r="B852" s="19"/>
      <c r="C852" s="11"/>
      <c r="D852" s="11"/>
    </row>
    <row r="853" ht="15.75" customHeight="1">
      <c r="A853" s="11"/>
      <c r="B853" s="19"/>
      <c r="C853" s="11"/>
      <c r="D853" s="11"/>
    </row>
    <row r="854" ht="15.75" customHeight="1">
      <c r="A854" s="11"/>
      <c r="B854" s="19"/>
      <c r="C854" s="11"/>
      <c r="D854" s="11"/>
    </row>
    <row r="855" ht="15.75" customHeight="1">
      <c r="A855" s="11"/>
      <c r="B855" s="19"/>
      <c r="C855" s="11"/>
      <c r="D855" s="11"/>
    </row>
    <row r="856" ht="15.75" customHeight="1">
      <c r="A856" s="11"/>
      <c r="B856" s="19"/>
      <c r="C856" s="11"/>
      <c r="D856" s="11"/>
    </row>
    <row r="857" ht="15.75" customHeight="1">
      <c r="A857" s="11"/>
      <c r="B857" s="19"/>
      <c r="C857" s="11"/>
      <c r="D857" s="11"/>
    </row>
    <row r="858" ht="15.75" customHeight="1">
      <c r="A858" s="11"/>
      <c r="B858" s="19"/>
      <c r="C858" s="11"/>
      <c r="D858" s="11"/>
    </row>
    <row r="859" ht="15.75" customHeight="1">
      <c r="A859" s="11"/>
      <c r="B859" s="19"/>
      <c r="C859" s="11"/>
      <c r="D859" s="11"/>
    </row>
    <row r="860" ht="15.75" customHeight="1">
      <c r="A860" s="11"/>
      <c r="B860" s="19"/>
      <c r="C860" s="11"/>
      <c r="D860" s="11"/>
    </row>
    <row r="861" ht="15.75" customHeight="1">
      <c r="A861" s="11"/>
      <c r="B861" s="19"/>
      <c r="C861" s="11"/>
      <c r="D861" s="11"/>
    </row>
    <row r="862" ht="15.75" customHeight="1">
      <c r="A862" s="11"/>
      <c r="B862" s="19"/>
      <c r="C862" s="11"/>
      <c r="D862" s="11"/>
    </row>
    <row r="863" ht="15.75" customHeight="1">
      <c r="A863" s="11"/>
      <c r="B863" s="19"/>
      <c r="C863" s="11"/>
      <c r="D863" s="11"/>
    </row>
    <row r="864" ht="15.75" customHeight="1">
      <c r="A864" s="11"/>
      <c r="B864" s="19"/>
      <c r="C864" s="11"/>
      <c r="D864" s="11"/>
    </row>
    <row r="865" ht="15.75" customHeight="1">
      <c r="A865" s="11"/>
      <c r="B865" s="19"/>
      <c r="C865" s="11"/>
      <c r="D865" s="11"/>
    </row>
    <row r="866" ht="15.75" customHeight="1">
      <c r="A866" s="11"/>
      <c r="B866" s="19"/>
      <c r="C866" s="11"/>
      <c r="D866" s="11"/>
    </row>
    <row r="867" ht="15.75" customHeight="1">
      <c r="A867" s="11"/>
      <c r="B867" s="19"/>
      <c r="C867" s="11"/>
      <c r="D867" s="11"/>
    </row>
    <row r="868" ht="15.75" customHeight="1">
      <c r="A868" s="11"/>
      <c r="B868" s="19"/>
      <c r="C868" s="11"/>
      <c r="D868" s="11"/>
    </row>
    <row r="869" ht="15.75" customHeight="1">
      <c r="A869" s="11"/>
      <c r="B869" s="19"/>
      <c r="C869" s="11"/>
      <c r="D869" s="11"/>
    </row>
    <row r="870" ht="15.75" customHeight="1">
      <c r="A870" s="11"/>
      <c r="B870" s="19"/>
      <c r="C870" s="11"/>
      <c r="D870" s="11"/>
    </row>
    <row r="871" ht="15.75" customHeight="1">
      <c r="A871" s="11"/>
      <c r="B871" s="19"/>
      <c r="C871" s="11"/>
      <c r="D871" s="11"/>
    </row>
    <row r="872" ht="15.75" customHeight="1">
      <c r="A872" s="11"/>
      <c r="B872" s="19"/>
      <c r="C872" s="11"/>
      <c r="D872" s="11"/>
    </row>
    <row r="873" ht="15.75" customHeight="1">
      <c r="A873" s="11"/>
      <c r="B873" s="19"/>
      <c r="C873" s="11"/>
      <c r="D873" s="11"/>
    </row>
    <row r="874" ht="15.75" customHeight="1">
      <c r="A874" s="11"/>
      <c r="B874" s="19"/>
      <c r="C874" s="11"/>
      <c r="D874" s="11"/>
    </row>
    <row r="875" ht="15.75" customHeight="1">
      <c r="A875" s="11"/>
      <c r="B875" s="19"/>
      <c r="C875" s="11"/>
      <c r="D875" s="11"/>
    </row>
    <row r="876" ht="15.75" customHeight="1">
      <c r="A876" s="11"/>
      <c r="B876" s="19"/>
      <c r="C876" s="11"/>
      <c r="D876" s="11"/>
    </row>
    <row r="877" ht="15.75" customHeight="1">
      <c r="A877" s="11"/>
      <c r="B877" s="19"/>
      <c r="C877" s="11"/>
      <c r="D877" s="11"/>
    </row>
    <row r="878" ht="15.75" customHeight="1">
      <c r="A878" s="11"/>
      <c r="B878" s="19"/>
      <c r="C878" s="11"/>
      <c r="D878" s="11"/>
    </row>
    <row r="879" ht="15.75" customHeight="1">
      <c r="A879" s="11"/>
      <c r="B879" s="19"/>
      <c r="C879" s="11"/>
      <c r="D879" s="11"/>
    </row>
    <row r="880" ht="15.75" customHeight="1">
      <c r="A880" s="11"/>
      <c r="B880" s="19"/>
      <c r="C880" s="11"/>
      <c r="D880" s="11"/>
    </row>
    <row r="881" ht="15.75" customHeight="1">
      <c r="A881" s="11"/>
      <c r="B881" s="19"/>
      <c r="C881" s="11"/>
      <c r="D881" s="11"/>
    </row>
    <row r="882" ht="15.75" customHeight="1">
      <c r="A882" s="11"/>
      <c r="B882" s="19"/>
      <c r="C882" s="11"/>
      <c r="D882" s="11"/>
    </row>
    <row r="883" ht="15.75" customHeight="1">
      <c r="A883" s="11"/>
      <c r="B883" s="19"/>
      <c r="C883" s="11"/>
      <c r="D883" s="11"/>
    </row>
    <row r="884" ht="15.75" customHeight="1">
      <c r="A884" s="11"/>
      <c r="B884" s="19"/>
      <c r="C884" s="11"/>
      <c r="D884" s="11"/>
    </row>
    <row r="885" ht="15.75" customHeight="1">
      <c r="A885" s="11"/>
      <c r="B885" s="19"/>
      <c r="C885" s="11"/>
      <c r="D885" s="11"/>
    </row>
    <row r="886" ht="15.75" customHeight="1">
      <c r="A886" s="11"/>
      <c r="B886" s="19"/>
      <c r="C886" s="11"/>
      <c r="D886" s="11"/>
    </row>
    <row r="887" ht="15.75" customHeight="1">
      <c r="A887" s="11"/>
      <c r="B887" s="19"/>
      <c r="C887" s="11"/>
      <c r="D887" s="11"/>
    </row>
    <row r="888" ht="15.75" customHeight="1">
      <c r="A888" s="11"/>
      <c r="B888" s="19"/>
      <c r="C888" s="11"/>
      <c r="D888" s="11"/>
    </row>
    <row r="889" ht="15.75" customHeight="1">
      <c r="A889" s="11"/>
      <c r="B889" s="19"/>
      <c r="C889" s="11"/>
      <c r="D889" s="11"/>
    </row>
    <row r="890" ht="15.75" customHeight="1">
      <c r="A890" s="11"/>
      <c r="B890" s="19"/>
      <c r="C890" s="11"/>
      <c r="D890" s="11"/>
    </row>
    <row r="891" ht="15.75" customHeight="1">
      <c r="A891" s="11"/>
      <c r="B891" s="19"/>
      <c r="C891" s="11"/>
      <c r="D891" s="11"/>
    </row>
    <row r="892" ht="15.75" customHeight="1">
      <c r="A892" s="11"/>
      <c r="B892" s="19"/>
      <c r="C892" s="11"/>
      <c r="D892" s="11"/>
    </row>
    <row r="893" ht="15.75" customHeight="1">
      <c r="A893" s="11"/>
      <c r="B893" s="19"/>
      <c r="C893" s="11"/>
      <c r="D893" s="11"/>
    </row>
    <row r="894" ht="15.75" customHeight="1">
      <c r="A894" s="11"/>
      <c r="B894" s="19"/>
      <c r="C894" s="11"/>
      <c r="D894" s="11"/>
    </row>
    <row r="895" ht="15.75" customHeight="1">
      <c r="A895" s="11"/>
      <c r="B895" s="19"/>
      <c r="C895" s="11"/>
      <c r="D895" s="11"/>
    </row>
    <row r="896" ht="15.75" customHeight="1">
      <c r="A896" s="11"/>
      <c r="B896" s="19"/>
      <c r="C896" s="11"/>
      <c r="D896" s="11"/>
    </row>
    <row r="897" ht="15.75" customHeight="1">
      <c r="A897" s="11"/>
      <c r="B897" s="19"/>
      <c r="C897" s="11"/>
      <c r="D897" s="11"/>
    </row>
    <row r="898" ht="15.75" customHeight="1">
      <c r="A898" s="11"/>
      <c r="B898" s="19"/>
      <c r="C898" s="11"/>
      <c r="D898" s="11"/>
    </row>
    <row r="899" ht="15.75" customHeight="1">
      <c r="A899" s="11"/>
      <c r="B899" s="19"/>
      <c r="C899" s="11"/>
      <c r="D899" s="11"/>
    </row>
    <row r="900" ht="15.75" customHeight="1">
      <c r="A900" s="11"/>
      <c r="B900" s="19"/>
      <c r="C900" s="11"/>
      <c r="D900" s="11"/>
    </row>
    <row r="901" ht="15.75" customHeight="1">
      <c r="A901" s="11"/>
      <c r="B901" s="19"/>
      <c r="C901" s="11"/>
      <c r="D901" s="11"/>
    </row>
    <row r="902" ht="15.75" customHeight="1">
      <c r="A902" s="11"/>
      <c r="B902" s="19"/>
      <c r="C902" s="11"/>
      <c r="D902" s="11"/>
    </row>
    <row r="903" ht="15.75" customHeight="1">
      <c r="A903" s="11"/>
      <c r="B903" s="19"/>
      <c r="C903" s="11"/>
      <c r="D903" s="11"/>
    </row>
    <row r="904" ht="15.75" customHeight="1">
      <c r="A904" s="11"/>
      <c r="B904" s="19"/>
      <c r="C904" s="11"/>
      <c r="D904" s="11"/>
    </row>
    <row r="905" ht="15.75" customHeight="1">
      <c r="A905" s="11"/>
      <c r="B905" s="19"/>
      <c r="C905" s="11"/>
      <c r="D905" s="11"/>
    </row>
    <row r="906" ht="15.75" customHeight="1">
      <c r="A906" s="11"/>
      <c r="B906" s="19"/>
      <c r="C906" s="11"/>
      <c r="D906" s="11"/>
    </row>
    <row r="907" ht="15.75" customHeight="1">
      <c r="A907" s="11"/>
      <c r="B907" s="19"/>
      <c r="C907" s="11"/>
      <c r="D907" s="11"/>
    </row>
    <row r="908" ht="15.75" customHeight="1">
      <c r="A908" s="11"/>
      <c r="B908" s="19"/>
      <c r="C908" s="11"/>
      <c r="D908" s="11"/>
    </row>
    <row r="909" ht="15.75" customHeight="1">
      <c r="A909" s="11"/>
      <c r="B909" s="19"/>
      <c r="C909" s="11"/>
      <c r="D909" s="11"/>
    </row>
    <row r="910" ht="15.75" customHeight="1">
      <c r="A910" s="11"/>
      <c r="B910" s="19"/>
      <c r="C910" s="11"/>
      <c r="D910" s="11"/>
    </row>
    <row r="911" ht="15.75" customHeight="1">
      <c r="A911" s="11"/>
      <c r="B911" s="19"/>
      <c r="C911" s="11"/>
      <c r="D911" s="11"/>
    </row>
    <row r="912" ht="15.75" customHeight="1">
      <c r="A912" s="11"/>
      <c r="B912" s="19"/>
      <c r="C912" s="11"/>
      <c r="D912" s="11"/>
    </row>
    <row r="913" ht="15.75" customHeight="1">
      <c r="A913" s="11"/>
      <c r="B913" s="19"/>
      <c r="C913" s="11"/>
      <c r="D913" s="11"/>
    </row>
    <row r="914" ht="15.75" customHeight="1">
      <c r="A914" s="11"/>
      <c r="B914" s="19"/>
      <c r="C914" s="11"/>
      <c r="D914" s="11"/>
    </row>
    <row r="915" ht="15.75" customHeight="1">
      <c r="A915" s="11"/>
      <c r="B915" s="19"/>
      <c r="C915" s="11"/>
      <c r="D915" s="11"/>
    </row>
    <row r="916" ht="15.75" customHeight="1">
      <c r="A916" s="11"/>
      <c r="B916" s="19"/>
      <c r="C916" s="11"/>
      <c r="D916" s="11"/>
    </row>
    <row r="917" ht="15.75" customHeight="1">
      <c r="A917" s="11"/>
      <c r="B917" s="19"/>
      <c r="C917" s="11"/>
      <c r="D917" s="11"/>
    </row>
    <row r="918" ht="15.75" customHeight="1">
      <c r="A918" s="11"/>
      <c r="B918" s="19"/>
      <c r="C918" s="11"/>
      <c r="D918" s="11"/>
    </row>
    <row r="919" ht="15.75" customHeight="1">
      <c r="A919" s="11"/>
      <c r="B919" s="19"/>
      <c r="C919" s="11"/>
      <c r="D919" s="11"/>
    </row>
    <row r="920" ht="15.75" customHeight="1">
      <c r="A920" s="11"/>
      <c r="B920" s="19"/>
      <c r="C920" s="11"/>
      <c r="D920" s="11"/>
    </row>
    <row r="921" ht="15.75" customHeight="1">
      <c r="A921" s="11"/>
      <c r="B921" s="19"/>
      <c r="C921" s="11"/>
      <c r="D921" s="11"/>
    </row>
    <row r="922" ht="15.75" customHeight="1">
      <c r="A922" s="11"/>
      <c r="B922" s="19"/>
      <c r="C922" s="11"/>
      <c r="D922" s="11"/>
    </row>
    <row r="923" ht="15.75" customHeight="1">
      <c r="A923" s="11"/>
      <c r="B923" s="19"/>
      <c r="C923" s="11"/>
      <c r="D923" s="11"/>
    </row>
    <row r="924" ht="15.75" customHeight="1">
      <c r="A924" s="11"/>
      <c r="B924" s="19"/>
      <c r="C924" s="11"/>
      <c r="D924" s="11"/>
    </row>
    <row r="925" ht="15.75" customHeight="1">
      <c r="A925" s="11"/>
      <c r="B925" s="19"/>
      <c r="C925" s="11"/>
      <c r="D925" s="11"/>
    </row>
    <row r="926" ht="15.75" customHeight="1">
      <c r="A926" s="11"/>
      <c r="B926" s="19"/>
      <c r="C926" s="11"/>
      <c r="D926" s="11"/>
    </row>
    <row r="927" ht="15.75" customHeight="1">
      <c r="A927" s="11"/>
      <c r="B927" s="19"/>
      <c r="C927" s="11"/>
      <c r="D927" s="11"/>
    </row>
    <row r="928" ht="15.75" customHeight="1">
      <c r="A928" s="11"/>
      <c r="B928" s="19"/>
      <c r="C928" s="11"/>
      <c r="D928" s="11"/>
    </row>
    <row r="929" ht="15.75" customHeight="1">
      <c r="A929" s="11"/>
      <c r="B929" s="19"/>
      <c r="C929" s="11"/>
      <c r="D929" s="11"/>
    </row>
    <row r="930" ht="15.75" customHeight="1">
      <c r="A930" s="11"/>
      <c r="B930" s="19"/>
      <c r="C930" s="11"/>
      <c r="D930" s="11"/>
    </row>
    <row r="931" ht="15.75" customHeight="1">
      <c r="A931" s="11"/>
      <c r="B931" s="19"/>
      <c r="C931" s="11"/>
      <c r="D931" s="11"/>
    </row>
    <row r="932" ht="15.75" customHeight="1">
      <c r="A932" s="11"/>
      <c r="B932" s="19"/>
      <c r="C932" s="11"/>
      <c r="D932" s="11"/>
    </row>
    <row r="933" ht="15.75" customHeight="1">
      <c r="A933" s="11"/>
      <c r="B933" s="19"/>
      <c r="C933" s="11"/>
      <c r="D933" s="11"/>
    </row>
    <row r="934" ht="15.75" customHeight="1">
      <c r="A934" s="11"/>
      <c r="B934" s="19"/>
      <c r="C934" s="11"/>
      <c r="D934" s="11"/>
    </row>
    <row r="935" ht="15.75" customHeight="1">
      <c r="A935" s="11"/>
      <c r="B935" s="19"/>
      <c r="C935" s="11"/>
      <c r="D935" s="11"/>
    </row>
    <row r="936" ht="15.75" customHeight="1">
      <c r="A936" s="11"/>
      <c r="B936" s="19"/>
      <c r="C936" s="11"/>
      <c r="D936" s="11"/>
    </row>
    <row r="937" ht="15.75" customHeight="1">
      <c r="A937" s="11"/>
      <c r="B937" s="19"/>
      <c r="C937" s="11"/>
      <c r="D937" s="11"/>
    </row>
    <row r="938" ht="15.75" customHeight="1">
      <c r="A938" s="11"/>
      <c r="B938" s="19"/>
      <c r="C938" s="11"/>
      <c r="D938" s="11"/>
    </row>
    <row r="939" ht="15.75" customHeight="1">
      <c r="A939" s="11"/>
      <c r="B939" s="19"/>
      <c r="C939" s="11"/>
      <c r="D939" s="11"/>
    </row>
    <row r="940" ht="15.75" customHeight="1">
      <c r="A940" s="11"/>
      <c r="B940" s="19"/>
      <c r="C940" s="11"/>
      <c r="D940" s="11"/>
    </row>
    <row r="941" ht="15.75" customHeight="1">
      <c r="A941" s="11"/>
      <c r="B941" s="19"/>
      <c r="C941" s="11"/>
      <c r="D941" s="11"/>
    </row>
    <row r="942" ht="15.75" customHeight="1">
      <c r="A942" s="11"/>
      <c r="B942" s="19"/>
      <c r="C942" s="11"/>
      <c r="D942" s="11"/>
    </row>
    <row r="943" ht="15.75" customHeight="1">
      <c r="A943" s="11"/>
      <c r="B943" s="19"/>
      <c r="C943" s="11"/>
      <c r="D943" s="11"/>
    </row>
    <row r="944" ht="15.75" customHeight="1">
      <c r="A944" s="11"/>
      <c r="B944" s="19"/>
      <c r="C944" s="11"/>
      <c r="D944" s="11"/>
    </row>
    <row r="945" ht="15.75" customHeight="1">
      <c r="A945" s="11"/>
      <c r="B945" s="19"/>
      <c r="C945" s="11"/>
      <c r="D945" s="11"/>
    </row>
    <row r="946" ht="15.75" customHeight="1">
      <c r="A946" s="11"/>
      <c r="B946" s="19"/>
      <c r="C946" s="11"/>
      <c r="D946" s="11"/>
    </row>
    <row r="947" ht="15.75" customHeight="1">
      <c r="A947" s="11"/>
      <c r="B947" s="19"/>
      <c r="C947" s="11"/>
      <c r="D947" s="11"/>
    </row>
    <row r="948" ht="15.75" customHeight="1">
      <c r="A948" s="11"/>
      <c r="B948" s="19"/>
      <c r="C948" s="11"/>
      <c r="D948" s="11"/>
    </row>
    <row r="949" ht="15.75" customHeight="1">
      <c r="A949" s="11"/>
      <c r="B949" s="19"/>
      <c r="C949" s="11"/>
      <c r="D949" s="11"/>
    </row>
    <row r="950" ht="15.75" customHeight="1">
      <c r="A950" s="11"/>
      <c r="B950" s="19"/>
      <c r="C950" s="11"/>
      <c r="D950" s="11"/>
    </row>
    <row r="951" ht="15.75" customHeight="1">
      <c r="A951" s="11"/>
      <c r="B951" s="19"/>
      <c r="C951" s="11"/>
      <c r="D951" s="11"/>
    </row>
    <row r="952" ht="15.75" customHeight="1">
      <c r="A952" s="11"/>
      <c r="B952" s="19"/>
      <c r="C952" s="11"/>
      <c r="D952" s="11"/>
    </row>
    <row r="953" ht="15.75" customHeight="1">
      <c r="A953" s="11"/>
      <c r="B953" s="19"/>
      <c r="C953" s="11"/>
      <c r="D953" s="11"/>
    </row>
    <row r="954" ht="15.75" customHeight="1">
      <c r="A954" s="11"/>
      <c r="B954" s="19"/>
      <c r="C954" s="11"/>
      <c r="D954" s="11"/>
    </row>
    <row r="955" ht="15.75" customHeight="1">
      <c r="A955" s="11"/>
      <c r="B955" s="19"/>
      <c r="C955" s="11"/>
      <c r="D955" s="11"/>
    </row>
    <row r="956" ht="15.75" customHeight="1">
      <c r="A956" s="11"/>
      <c r="B956" s="19"/>
      <c r="C956" s="11"/>
      <c r="D956" s="11"/>
    </row>
    <row r="957" ht="15.75" customHeight="1">
      <c r="A957" s="11"/>
      <c r="B957" s="19"/>
      <c r="C957" s="11"/>
      <c r="D957" s="11"/>
    </row>
    <row r="958" ht="15.75" customHeight="1">
      <c r="A958" s="11"/>
      <c r="B958" s="19"/>
      <c r="C958" s="11"/>
      <c r="D958" s="11"/>
    </row>
    <row r="959" ht="15.75" customHeight="1">
      <c r="A959" s="11"/>
      <c r="B959" s="19"/>
      <c r="C959" s="11"/>
      <c r="D959" s="11"/>
    </row>
    <row r="960" ht="15.75" customHeight="1">
      <c r="A960" s="11"/>
      <c r="B960" s="19"/>
      <c r="C960" s="11"/>
      <c r="D960" s="11"/>
    </row>
    <row r="961" ht="15.75" customHeight="1">
      <c r="A961" s="11"/>
      <c r="B961" s="19"/>
      <c r="C961" s="11"/>
      <c r="D961" s="11"/>
    </row>
    <row r="962" ht="15.75" customHeight="1">
      <c r="A962" s="11"/>
      <c r="B962" s="19"/>
      <c r="C962" s="11"/>
      <c r="D962" s="11"/>
    </row>
    <row r="963" ht="15.75" customHeight="1">
      <c r="A963" s="11"/>
      <c r="B963" s="19"/>
      <c r="C963" s="11"/>
      <c r="D963" s="11"/>
    </row>
    <row r="964" ht="15.75" customHeight="1">
      <c r="A964" s="11"/>
      <c r="B964" s="19"/>
      <c r="C964" s="11"/>
      <c r="D964" s="11"/>
    </row>
    <row r="965" ht="15.75" customHeight="1">
      <c r="A965" s="11"/>
      <c r="B965" s="19"/>
      <c r="C965" s="11"/>
      <c r="D965" s="11"/>
    </row>
    <row r="966" ht="15.75" customHeight="1">
      <c r="A966" s="11"/>
      <c r="B966" s="19"/>
      <c r="C966" s="11"/>
      <c r="D966" s="11"/>
    </row>
    <row r="967" ht="15.75" customHeight="1">
      <c r="A967" s="11"/>
      <c r="B967" s="19"/>
      <c r="C967" s="11"/>
      <c r="D967" s="11"/>
    </row>
    <row r="968" ht="15.75" customHeight="1">
      <c r="A968" s="11"/>
      <c r="B968" s="19"/>
      <c r="C968" s="11"/>
      <c r="D968" s="11"/>
    </row>
    <row r="969" ht="15.75" customHeight="1">
      <c r="A969" s="11"/>
      <c r="B969" s="19"/>
      <c r="C969" s="11"/>
      <c r="D969" s="11"/>
    </row>
    <row r="970" ht="15.75" customHeight="1">
      <c r="A970" s="11"/>
      <c r="B970" s="19"/>
      <c r="C970" s="11"/>
      <c r="D970" s="11"/>
    </row>
    <row r="971" ht="15.75" customHeight="1">
      <c r="A971" s="11"/>
      <c r="B971" s="19"/>
      <c r="C971" s="11"/>
      <c r="D971" s="11"/>
    </row>
    <row r="972" ht="15.75" customHeight="1">
      <c r="A972" s="11"/>
      <c r="B972" s="19"/>
      <c r="C972" s="11"/>
      <c r="D972" s="11"/>
    </row>
    <row r="973" ht="15.75" customHeight="1">
      <c r="A973" s="11"/>
      <c r="B973" s="19"/>
      <c r="C973" s="11"/>
      <c r="D973" s="11"/>
    </row>
    <row r="974" ht="15.75" customHeight="1">
      <c r="A974" s="11"/>
      <c r="B974" s="19"/>
      <c r="C974" s="11"/>
      <c r="D974" s="11"/>
    </row>
    <row r="975" ht="15.75" customHeight="1">
      <c r="A975" s="11"/>
      <c r="B975" s="19"/>
      <c r="C975" s="11"/>
      <c r="D975" s="11"/>
    </row>
    <row r="976" ht="15.75" customHeight="1">
      <c r="A976" s="11"/>
      <c r="B976" s="19"/>
      <c r="C976" s="11"/>
      <c r="D976" s="11"/>
    </row>
    <row r="977" ht="15.75" customHeight="1">
      <c r="A977" s="11"/>
      <c r="B977" s="19"/>
      <c r="C977" s="11"/>
      <c r="D977" s="11"/>
    </row>
    <row r="978" ht="15.75" customHeight="1">
      <c r="A978" s="11"/>
      <c r="B978" s="19"/>
      <c r="C978" s="11"/>
      <c r="D978" s="11"/>
    </row>
    <row r="979" ht="15.75" customHeight="1">
      <c r="A979" s="11"/>
      <c r="B979" s="19"/>
      <c r="C979" s="11"/>
      <c r="D979" s="11"/>
    </row>
    <row r="980" ht="15.75" customHeight="1">
      <c r="A980" s="11"/>
      <c r="B980" s="19"/>
      <c r="C980" s="11"/>
      <c r="D980" s="11"/>
    </row>
    <row r="981" ht="15.75" customHeight="1">
      <c r="A981" s="11"/>
      <c r="B981" s="19"/>
      <c r="C981" s="11"/>
      <c r="D981" s="11"/>
    </row>
    <row r="982" ht="15.75" customHeight="1">
      <c r="A982" s="11"/>
      <c r="B982" s="19"/>
      <c r="C982" s="11"/>
      <c r="D982" s="11"/>
    </row>
    <row r="983" ht="15.75" customHeight="1">
      <c r="A983" s="11"/>
      <c r="B983" s="19"/>
      <c r="C983" s="11"/>
      <c r="D983" s="11"/>
    </row>
    <row r="984" ht="15.75" customHeight="1">
      <c r="A984" s="11"/>
      <c r="B984" s="19"/>
      <c r="C984" s="11"/>
      <c r="D984" s="11"/>
    </row>
    <row r="985" ht="15.75" customHeight="1">
      <c r="A985" s="11"/>
      <c r="B985" s="19"/>
      <c r="C985" s="11"/>
      <c r="D985" s="11"/>
    </row>
    <row r="986" ht="15.75" customHeight="1">
      <c r="A986" s="11"/>
      <c r="B986" s="19"/>
      <c r="C986" s="11"/>
      <c r="D986" s="11"/>
    </row>
    <row r="987" ht="15.75" customHeight="1">
      <c r="A987" s="11"/>
      <c r="B987" s="19"/>
      <c r="C987" s="11"/>
      <c r="D987" s="11"/>
    </row>
    <row r="988" ht="15.75" customHeight="1">
      <c r="A988" s="11"/>
      <c r="B988" s="19"/>
      <c r="C988" s="11"/>
      <c r="D988" s="11"/>
    </row>
    <row r="989" ht="15.75" customHeight="1">
      <c r="A989" s="11"/>
      <c r="B989" s="19"/>
      <c r="C989" s="11"/>
      <c r="D989" s="11"/>
    </row>
    <row r="990" ht="15.75" customHeight="1">
      <c r="A990" s="11"/>
      <c r="B990" s="19"/>
      <c r="C990" s="11"/>
      <c r="D990" s="11"/>
    </row>
    <row r="991" ht="15.75" customHeight="1">
      <c r="A991" s="11"/>
      <c r="B991" s="19"/>
      <c r="C991" s="11"/>
      <c r="D991" s="11"/>
    </row>
    <row r="992" ht="15.75" customHeight="1">
      <c r="A992" s="11"/>
      <c r="B992" s="19"/>
      <c r="C992" s="11"/>
      <c r="D992" s="11"/>
    </row>
    <row r="993" ht="15.75" customHeight="1">
      <c r="A993" s="11"/>
      <c r="B993" s="19"/>
      <c r="C993" s="11"/>
      <c r="D993" s="11"/>
    </row>
    <row r="994" ht="15.75" customHeight="1">
      <c r="A994" s="11"/>
      <c r="B994" s="19"/>
      <c r="C994" s="11"/>
      <c r="D994" s="11"/>
    </row>
    <row r="995" ht="15.75" customHeight="1">
      <c r="A995" s="11"/>
      <c r="B995" s="19"/>
      <c r="C995" s="11"/>
      <c r="D995" s="11"/>
    </row>
    <row r="996" ht="15.75" customHeight="1">
      <c r="A996" s="11"/>
      <c r="B996" s="19"/>
      <c r="C996" s="11"/>
      <c r="D996" s="11"/>
    </row>
    <row r="997" ht="15.75" customHeight="1">
      <c r="A997" s="11"/>
      <c r="B997" s="19"/>
      <c r="C997" s="11"/>
      <c r="D997" s="11"/>
    </row>
    <row r="998" ht="15.75" customHeight="1">
      <c r="A998" s="11"/>
      <c r="B998" s="19"/>
      <c r="C998" s="11"/>
      <c r="D998" s="11"/>
    </row>
    <row r="999" ht="15.75" customHeight="1">
      <c r="A999" s="11"/>
      <c r="B999" s="19"/>
      <c r="C999" s="11"/>
      <c r="D999" s="11"/>
    </row>
    <row r="1000" ht="15.75" customHeight="1">
      <c r="A1000" s="11"/>
      <c r="B1000" s="19"/>
      <c r="C1000" s="11"/>
      <c r="D1000" s="11"/>
    </row>
  </sheetData>
  <printOptions/>
  <pageMargins bottom="0.787401575" footer="0.0" header="0.0" left="0.511811024" right="0.511811024" top="0.787401575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4.71"/>
    <col customWidth="1" min="3" max="3" width="11.71"/>
    <col customWidth="1" min="4" max="4" width="16.29"/>
    <col customWidth="1" min="5" max="5" width="31.0"/>
    <col customWidth="1" min="6" max="6" width="43.57"/>
    <col customWidth="1" min="7" max="26" width="8.71"/>
  </cols>
  <sheetData>
    <row r="1">
      <c r="D1" s="11"/>
      <c r="E1" s="19"/>
    </row>
    <row r="2">
      <c r="D2" s="11"/>
      <c r="E2" s="19"/>
    </row>
    <row r="3">
      <c r="B3" s="17"/>
      <c r="D3" s="11"/>
      <c r="E3" s="19"/>
    </row>
    <row r="4">
      <c r="B4" s="17"/>
      <c r="D4" s="11"/>
      <c r="E4" s="19"/>
    </row>
    <row r="5">
      <c r="B5" s="19"/>
      <c r="D5" s="11"/>
      <c r="E5" s="19"/>
    </row>
    <row r="6">
      <c r="A6" s="223"/>
      <c r="B6" s="224"/>
      <c r="C6" s="224"/>
      <c r="D6" s="223"/>
      <c r="E6" s="226"/>
      <c r="F6" s="22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45"/>
      <c r="B7" s="45"/>
      <c r="C7" s="191"/>
      <c r="D7" s="32"/>
      <c r="E7" s="227"/>
      <c r="F7" s="45"/>
    </row>
    <row r="8">
      <c r="A8" s="45"/>
      <c r="B8" s="228"/>
      <c r="C8" s="191"/>
      <c r="D8" s="32"/>
      <c r="E8" s="227"/>
      <c r="F8" s="45"/>
    </row>
    <row r="9">
      <c r="A9" s="45"/>
      <c r="B9" s="228"/>
      <c r="C9" s="191"/>
      <c r="D9" s="32"/>
      <c r="E9" s="227"/>
      <c r="F9" s="229"/>
    </row>
    <row r="10">
      <c r="A10" s="45"/>
      <c r="B10" s="228"/>
      <c r="C10" s="191"/>
      <c r="D10" s="32"/>
      <c r="E10" s="227"/>
      <c r="F10" s="45"/>
    </row>
    <row r="11">
      <c r="A11" s="45"/>
      <c r="B11" s="228"/>
      <c r="C11" s="191"/>
      <c r="D11" s="32"/>
      <c r="E11" s="227"/>
      <c r="F11" s="45"/>
    </row>
    <row r="12">
      <c r="A12" s="45"/>
      <c r="B12" s="228"/>
      <c r="C12" s="191"/>
      <c r="D12" s="32"/>
      <c r="E12" s="227"/>
      <c r="F12" s="45"/>
    </row>
    <row r="13">
      <c r="A13" s="45"/>
      <c r="B13" s="228"/>
      <c r="C13" s="191"/>
      <c r="D13" s="32"/>
      <c r="E13" s="227"/>
      <c r="F13" s="45"/>
    </row>
    <row r="14">
      <c r="A14" s="45"/>
      <c r="B14" s="228"/>
      <c r="C14" s="191"/>
      <c r="D14" s="32"/>
      <c r="E14" s="227"/>
      <c r="F14" s="45"/>
    </row>
    <row r="15">
      <c r="A15" s="45"/>
      <c r="B15" s="228"/>
      <c r="C15" s="191"/>
      <c r="D15" s="32"/>
      <c r="E15" s="227"/>
      <c r="F15" s="45"/>
    </row>
    <row r="16">
      <c r="A16" s="45"/>
      <c r="B16" s="228"/>
      <c r="C16" s="191"/>
      <c r="D16" s="32"/>
      <c r="E16" s="227"/>
      <c r="F16" s="45"/>
    </row>
    <row r="17">
      <c r="A17" s="45"/>
      <c r="B17" s="228"/>
      <c r="C17" s="191"/>
      <c r="D17" s="32"/>
      <c r="E17" s="227"/>
      <c r="F17" s="45"/>
    </row>
    <row r="18">
      <c r="A18" s="45"/>
      <c r="B18" s="228"/>
      <c r="C18" s="191"/>
      <c r="D18" s="32"/>
      <c r="E18" s="227"/>
      <c r="F18" s="45"/>
    </row>
    <row r="19">
      <c r="A19" s="45"/>
      <c r="B19" s="228"/>
      <c r="C19" s="191"/>
      <c r="D19" s="32"/>
      <c r="E19" s="227"/>
      <c r="F19" s="45"/>
    </row>
    <row r="20">
      <c r="A20" s="45"/>
      <c r="B20" s="228"/>
      <c r="C20" s="191"/>
      <c r="D20" s="32"/>
      <c r="E20" s="227"/>
      <c r="F20" s="45"/>
    </row>
    <row r="21" ht="15.75" customHeight="1">
      <c r="A21" s="45"/>
      <c r="B21" s="228"/>
      <c r="C21" s="191"/>
      <c r="D21" s="32"/>
      <c r="E21" s="227"/>
      <c r="F21" s="45"/>
    </row>
    <row r="22" ht="15.75" customHeight="1">
      <c r="A22" s="45"/>
      <c r="B22" s="228"/>
      <c r="C22" s="191"/>
      <c r="D22" s="32"/>
      <c r="E22" s="227"/>
      <c r="F22" s="45"/>
    </row>
    <row r="23" ht="15.75" customHeight="1">
      <c r="A23" s="45"/>
      <c r="B23" s="228"/>
      <c r="C23" s="191"/>
      <c r="D23" s="32"/>
      <c r="E23" s="227"/>
      <c r="F23" s="45"/>
    </row>
    <row r="24" ht="15.75" customHeight="1">
      <c r="A24" s="45"/>
      <c r="B24" s="228"/>
      <c r="C24" s="191"/>
      <c r="D24" s="32"/>
      <c r="E24" s="227"/>
      <c r="F24" s="45"/>
    </row>
    <row r="25" ht="15.75" customHeight="1">
      <c r="A25" s="45"/>
      <c r="B25" s="228"/>
      <c r="C25" s="191"/>
      <c r="D25" s="32"/>
      <c r="E25" s="227"/>
      <c r="F25" s="45"/>
    </row>
    <row r="26" ht="15.75" customHeight="1">
      <c r="A26" s="45"/>
      <c r="B26" s="228"/>
      <c r="C26" s="191"/>
      <c r="D26" s="32"/>
      <c r="E26" s="227"/>
      <c r="F26" s="45"/>
    </row>
    <row r="27" ht="15.75" customHeight="1">
      <c r="A27" s="45"/>
      <c r="B27" s="228"/>
      <c r="C27" s="191"/>
      <c r="D27" s="32"/>
      <c r="E27" s="227"/>
      <c r="F27" s="45"/>
    </row>
    <row r="28" ht="15.75" customHeight="1">
      <c r="A28" s="45"/>
      <c r="B28" s="228"/>
      <c r="C28" s="191"/>
      <c r="D28" s="32"/>
      <c r="E28" s="227"/>
      <c r="F28" s="45"/>
    </row>
    <row r="29" ht="15.75" customHeight="1">
      <c r="A29" s="45"/>
      <c r="B29" s="228"/>
      <c r="C29" s="191"/>
      <c r="D29" s="32"/>
      <c r="E29" s="227"/>
      <c r="F29" s="45"/>
    </row>
    <row r="30" ht="15.75" customHeight="1">
      <c r="A30" s="45"/>
      <c r="B30" s="228"/>
      <c r="C30" s="191"/>
      <c r="D30" s="32"/>
      <c r="E30" s="227"/>
      <c r="F30" s="45"/>
    </row>
    <row r="31" ht="15.75" customHeight="1">
      <c r="A31" s="45"/>
      <c r="B31" s="228"/>
      <c r="C31" s="191"/>
      <c r="D31" s="32"/>
      <c r="E31" s="227"/>
      <c r="F31" s="45"/>
    </row>
    <row r="32" ht="15.75" customHeight="1">
      <c r="A32" s="45"/>
      <c r="B32" s="228"/>
      <c r="C32" s="191"/>
      <c r="D32" s="32"/>
      <c r="E32" s="227"/>
      <c r="F32" s="229"/>
    </row>
    <row r="33" ht="15.75" customHeight="1">
      <c r="A33" s="45"/>
      <c r="B33" s="228"/>
      <c r="C33" s="191"/>
      <c r="D33" s="32"/>
      <c r="E33" s="227"/>
      <c r="F33" s="45"/>
    </row>
    <row r="34" ht="15.75" customHeight="1">
      <c r="A34" s="45"/>
      <c r="B34" s="228"/>
      <c r="C34" s="191"/>
      <c r="D34" s="32"/>
      <c r="E34" s="227"/>
      <c r="F34" s="45"/>
    </row>
    <row r="35" ht="15.75" customHeight="1">
      <c r="A35" s="45"/>
      <c r="B35" s="228"/>
      <c r="C35" s="191"/>
      <c r="D35" s="32"/>
      <c r="E35" s="227"/>
      <c r="F35" s="45"/>
    </row>
    <row r="36" ht="15.75" customHeight="1">
      <c r="A36" s="45"/>
      <c r="B36" s="228"/>
      <c r="C36" s="191"/>
      <c r="D36" s="32"/>
      <c r="E36" s="227"/>
      <c r="F36" s="45"/>
    </row>
    <row r="37" ht="15.75" customHeight="1">
      <c r="A37" s="45"/>
      <c r="B37" s="228"/>
      <c r="C37" s="191"/>
      <c r="D37" s="32"/>
      <c r="E37" s="227"/>
      <c r="F37" s="45"/>
    </row>
    <row r="38" ht="15.75" customHeight="1">
      <c r="D38" s="11"/>
      <c r="E38" s="19"/>
    </row>
    <row r="39" ht="15.75" customHeight="1">
      <c r="D39" s="11"/>
      <c r="E39" s="19"/>
    </row>
    <row r="40" ht="15.75" customHeight="1">
      <c r="D40" s="11"/>
      <c r="E40" s="19"/>
    </row>
    <row r="41" ht="15.75" customHeight="1">
      <c r="D41" s="11"/>
      <c r="E41" s="19"/>
    </row>
    <row r="42" ht="15.75" customHeight="1">
      <c r="B42" s="17"/>
      <c r="D42" s="11"/>
      <c r="E42" s="19"/>
    </row>
    <row r="43" ht="15.75" customHeight="1">
      <c r="B43" s="17"/>
      <c r="D43" s="11"/>
      <c r="E43" s="19"/>
    </row>
    <row r="44" ht="15.75" customHeight="1">
      <c r="B44" s="19"/>
      <c r="D44" s="11"/>
      <c r="E44" s="19"/>
    </row>
    <row r="45" ht="15.75" customHeight="1">
      <c r="A45" s="223"/>
      <c r="B45" s="224"/>
      <c r="C45" s="224"/>
      <c r="D45" s="223"/>
      <c r="E45" s="226"/>
      <c r="F45" s="223"/>
    </row>
    <row r="46" ht="15.75" customHeight="1">
      <c r="A46" s="45"/>
      <c r="B46" s="45"/>
      <c r="C46" s="191"/>
      <c r="D46" s="32"/>
      <c r="E46" s="227"/>
      <c r="F46" s="45"/>
    </row>
    <row r="47" ht="15.75" customHeight="1">
      <c r="A47" s="45"/>
      <c r="B47" s="228"/>
      <c r="C47" s="191"/>
      <c r="D47" s="32"/>
      <c r="E47" s="227"/>
      <c r="F47" s="45"/>
    </row>
    <row r="48" ht="15.75" customHeight="1">
      <c r="A48" s="45"/>
      <c r="B48" s="228"/>
      <c r="C48" s="191"/>
      <c r="D48" s="32"/>
      <c r="E48" s="227"/>
      <c r="F48" s="229"/>
    </row>
    <row r="49" ht="15.75" customHeight="1">
      <c r="A49" s="45"/>
      <c r="B49" s="228"/>
      <c r="C49" s="191"/>
      <c r="D49" s="32"/>
      <c r="E49" s="227"/>
      <c r="F49" s="45"/>
    </row>
    <row r="50" ht="15.75" customHeight="1">
      <c r="A50" s="45"/>
      <c r="B50" s="228"/>
      <c r="C50" s="191"/>
      <c r="D50" s="32"/>
      <c r="E50" s="227"/>
      <c r="F50" s="45"/>
    </row>
    <row r="51" ht="15.75" customHeight="1">
      <c r="A51" s="45"/>
      <c r="B51" s="228"/>
      <c r="C51" s="191"/>
      <c r="D51" s="32"/>
      <c r="E51" s="227"/>
      <c r="F51" s="45"/>
    </row>
    <row r="52" ht="15.75" customHeight="1">
      <c r="A52" s="45"/>
      <c r="B52" s="228"/>
      <c r="C52" s="191"/>
      <c r="D52" s="32"/>
      <c r="E52" s="227"/>
      <c r="F52" s="45"/>
    </row>
    <row r="53" ht="15.75" customHeight="1">
      <c r="A53" s="45"/>
      <c r="B53" s="228"/>
      <c r="C53" s="191"/>
      <c r="D53" s="32"/>
      <c r="E53" s="227"/>
      <c r="F53" s="45"/>
    </row>
    <row r="54" ht="15.75" customHeight="1">
      <c r="A54" s="45"/>
      <c r="B54" s="228"/>
      <c r="C54" s="191"/>
      <c r="D54" s="32"/>
      <c r="E54" s="227"/>
      <c r="F54" s="45"/>
    </row>
    <row r="55" ht="15.75" customHeight="1">
      <c r="A55" s="45"/>
      <c r="B55" s="228"/>
      <c r="C55" s="191"/>
      <c r="D55" s="32"/>
      <c r="E55" s="227"/>
      <c r="F55" s="45"/>
    </row>
    <row r="56" ht="15.75" customHeight="1">
      <c r="A56" s="45"/>
      <c r="B56" s="228"/>
      <c r="C56" s="191"/>
      <c r="D56" s="32"/>
      <c r="E56" s="227"/>
      <c r="F56" s="45"/>
    </row>
    <row r="57" ht="15.75" customHeight="1">
      <c r="A57" s="45"/>
      <c r="B57" s="228"/>
      <c r="C57" s="191"/>
      <c r="D57" s="32"/>
      <c r="E57" s="227"/>
      <c r="F57" s="45"/>
    </row>
    <row r="58" ht="15.75" customHeight="1">
      <c r="A58" s="45"/>
      <c r="B58" s="228"/>
      <c r="C58" s="191"/>
      <c r="D58" s="32"/>
      <c r="E58" s="227"/>
      <c r="F58" s="45"/>
    </row>
    <row r="59" ht="15.75" customHeight="1">
      <c r="A59" s="45"/>
      <c r="B59" s="228"/>
      <c r="C59" s="191"/>
      <c r="D59" s="32"/>
      <c r="E59" s="227"/>
      <c r="F59" s="45"/>
    </row>
    <row r="60" ht="15.75" customHeight="1">
      <c r="A60" s="45"/>
      <c r="B60" s="228"/>
      <c r="C60" s="191"/>
      <c r="D60" s="32"/>
      <c r="E60" s="227"/>
      <c r="F60" s="229"/>
    </row>
    <row r="61" ht="15.75" customHeight="1">
      <c r="A61" s="45"/>
      <c r="B61" s="228"/>
      <c r="C61" s="191"/>
      <c r="D61" s="32"/>
      <c r="E61" s="227"/>
      <c r="F61" s="45"/>
    </row>
    <row r="62" ht="15.75" customHeight="1">
      <c r="D62" s="11"/>
      <c r="E62" s="19"/>
    </row>
    <row r="63" ht="15.75" customHeight="1">
      <c r="D63" s="11"/>
      <c r="E63" s="19"/>
    </row>
    <row r="64" ht="15.75" customHeight="1">
      <c r="D64" s="11"/>
      <c r="E64" s="19"/>
    </row>
    <row r="65" ht="15.75" customHeight="1">
      <c r="D65" s="11"/>
      <c r="E65" s="19"/>
    </row>
    <row r="66" ht="15.75" customHeight="1">
      <c r="D66" s="11"/>
      <c r="E66" s="19"/>
    </row>
    <row r="67" ht="15.75" customHeight="1">
      <c r="D67" s="11"/>
      <c r="E67" s="19"/>
    </row>
    <row r="68" ht="15.75" customHeight="1">
      <c r="D68" s="11"/>
      <c r="E68" s="19"/>
    </row>
    <row r="69" ht="15.75" customHeight="1">
      <c r="D69" s="11"/>
      <c r="E69" s="19"/>
    </row>
    <row r="70" ht="15.75" customHeight="1">
      <c r="D70" s="11"/>
      <c r="E70" s="19"/>
    </row>
    <row r="71" ht="15.75" customHeight="1">
      <c r="D71" s="11"/>
      <c r="E71" s="19"/>
    </row>
    <row r="72" ht="15.75" customHeight="1">
      <c r="D72" s="11"/>
      <c r="E72" s="19"/>
    </row>
    <row r="73" ht="15.75" customHeight="1">
      <c r="D73" s="11"/>
      <c r="E73" s="19"/>
    </row>
    <row r="74" ht="15.75" customHeight="1">
      <c r="D74" s="11"/>
      <c r="E74" s="19"/>
    </row>
    <row r="75" ht="15.75" customHeight="1">
      <c r="D75" s="11"/>
      <c r="E75" s="19"/>
    </row>
    <row r="76" ht="15.75" customHeight="1">
      <c r="D76" s="11"/>
      <c r="E76" s="19"/>
    </row>
    <row r="77" ht="15.75" customHeight="1">
      <c r="D77" s="11"/>
      <c r="E77" s="19"/>
    </row>
    <row r="78" ht="15.75" customHeight="1">
      <c r="D78" s="11"/>
      <c r="E78" s="19"/>
    </row>
    <row r="79" ht="15.75" customHeight="1">
      <c r="D79" s="11"/>
      <c r="E79" s="19"/>
    </row>
    <row r="80" ht="15.75" customHeight="1">
      <c r="D80" s="11"/>
      <c r="E80" s="19"/>
    </row>
    <row r="81" ht="15.75" customHeight="1">
      <c r="D81" s="11"/>
      <c r="E81" s="19"/>
    </row>
    <row r="82" ht="15.75" customHeight="1">
      <c r="D82" s="11"/>
      <c r="E82" s="19"/>
    </row>
    <row r="83" ht="15.75" customHeight="1">
      <c r="D83" s="11"/>
      <c r="E83" s="19"/>
    </row>
    <row r="84" ht="15.75" customHeight="1">
      <c r="D84" s="11"/>
      <c r="E84" s="19"/>
    </row>
    <row r="85" ht="15.75" customHeight="1">
      <c r="D85" s="11"/>
      <c r="E85" s="19"/>
    </row>
    <row r="86" ht="15.75" customHeight="1">
      <c r="D86" s="11"/>
      <c r="E86" s="19"/>
    </row>
    <row r="87" ht="15.75" customHeight="1">
      <c r="D87" s="11"/>
      <c r="E87" s="19"/>
    </row>
    <row r="88" ht="15.75" customHeight="1">
      <c r="D88" s="11"/>
      <c r="E88" s="19"/>
    </row>
    <row r="89" ht="15.75" customHeight="1">
      <c r="D89" s="11"/>
      <c r="E89" s="19"/>
    </row>
    <row r="90" ht="15.75" customHeight="1">
      <c r="D90" s="11"/>
      <c r="E90" s="19"/>
    </row>
    <row r="91" ht="15.75" customHeight="1">
      <c r="D91" s="11"/>
      <c r="E91" s="19"/>
    </row>
    <row r="92" ht="15.75" customHeight="1">
      <c r="D92" s="11"/>
      <c r="E92" s="19"/>
    </row>
    <row r="93" ht="15.75" customHeight="1">
      <c r="D93" s="11"/>
      <c r="E93" s="19"/>
    </row>
    <row r="94" ht="15.75" customHeight="1">
      <c r="D94" s="11"/>
      <c r="E94" s="19"/>
    </row>
    <row r="95" ht="15.75" customHeight="1">
      <c r="D95" s="11"/>
      <c r="E95" s="19"/>
    </row>
    <row r="96" ht="15.75" customHeight="1">
      <c r="D96" s="11"/>
      <c r="E96" s="19"/>
    </row>
    <row r="97" ht="15.75" customHeight="1">
      <c r="D97" s="11"/>
      <c r="E97" s="19"/>
    </row>
    <row r="98" ht="15.75" customHeight="1">
      <c r="D98" s="11"/>
      <c r="E98" s="19"/>
    </row>
    <row r="99" ht="15.75" customHeight="1">
      <c r="D99" s="11"/>
      <c r="E99" s="19"/>
    </row>
    <row r="100" ht="15.75" customHeight="1">
      <c r="D100" s="11"/>
      <c r="E100" s="19"/>
    </row>
    <row r="101" ht="15.75" customHeight="1">
      <c r="D101" s="11"/>
      <c r="E101" s="19"/>
    </row>
    <row r="102" ht="15.75" customHeight="1">
      <c r="D102" s="11"/>
      <c r="E102" s="19"/>
    </row>
    <row r="103" ht="15.75" customHeight="1">
      <c r="D103" s="11"/>
      <c r="E103" s="19"/>
    </row>
    <row r="104" ht="15.75" customHeight="1">
      <c r="D104" s="11"/>
      <c r="E104" s="19"/>
    </row>
    <row r="105" ht="15.75" customHeight="1">
      <c r="D105" s="11"/>
      <c r="E105" s="19"/>
    </row>
    <row r="106" ht="15.75" customHeight="1">
      <c r="D106" s="11"/>
      <c r="E106" s="19"/>
    </row>
    <row r="107" ht="15.75" customHeight="1">
      <c r="D107" s="11"/>
      <c r="E107" s="19"/>
    </row>
    <row r="108" ht="15.75" customHeight="1">
      <c r="D108" s="11"/>
      <c r="E108" s="19"/>
    </row>
    <row r="109" ht="15.75" customHeight="1">
      <c r="D109" s="11"/>
      <c r="E109" s="19"/>
    </row>
    <row r="110" ht="15.75" customHeight="1">
      <c r="D110" s="11"/>
      <c r="E110" s="19"/>
    </row>
    <row r="111" ht="15.75" customHeight="1">
      <c r="D111" s="11"/>
      <c r="E111" s="19"/>
    </row>
    <row r="112" ht="15.75" customHeight="1">
      <c r="D112" s="11"/>
      <c r="E112" s="19"/>
    </row>
    <row r="113" ht="15.75" customHeight="1">
      <c r="D113" s="11"/>
      <c r="E113" s="19"/>
    </row>
    <row r="114" ht="15.75" customHeight="1">
      <c r="D114" s="11"/>
      <c r="E114" s="19"/>
    </row>
    <row r="115" ht="15.75" customHeight="1">
      <c r="D115" s="11"/>
      <c r="E115" s="19"/>
    </row>
    <row r="116" ht="15.75" customHeight="1">
      <c r="D116" s="11"/>
      <c r="E116" s="19"/>
    </row>
    <row r="117" ht="15.75" customHeight="1">
      <c r="D117" s="11"/>
      <c r="E117" s="19"/>
    </row>
    <row r="118" ht="15.75" customHeight="1">
      <c r="D118" s="11"/>
      <c r="E118" s="19"/>
    </row>
    <row r="119" ht="15.75" customHeight="1">
      <c r="D119" s="11"/>
      <c r="E119" s="19"/>
    </row>
    <row r="120" ht="15.75" customHeight="1">
      <c r="D120" s="11"/>
      <c r="E120" s="19"/>
    </row>
    <row r="121" ht="15.75" customHeight="1">
      <c r="D121" s="11"/>
      <c r="E121" s="19"/>
    </row>
    <row r="122" ht="15.75" customHeight="1">
      <c r="D122" s="11"/>
      <c r="E122" s="19"/>
    </row>
    <row r="123" ht="15.75" customHeight="1">
      <c r="D123" s="11"/>
      <c r="E123" s="19"/>
    </row>
    <row r="124" ht="15.75" customHeight="1">
      <c r="D124" s="11"/>
      <c r="E124" s="19"/>
    </row>
    <row r="125" ht="15.75" customHeight="1">
      <c r="D125" s="11"/>
      <c r="E125" s="19"/>
    </row>
    <row r="126" ht="15.75" customHeight="1">
      <c r="D126" s="11"/>
      <c r="E126" s="19"/>
    </row>
    <row r="127" ht="15.75" customHeight="1">
      <c r="D127" s="11"/>
      <c r="E127" s="19"/>
    </row>
    <row r="128" ht="15.75" customHeight="1">
      <c r="D128" s="11"/>
      <c r="E128" s="19"/>
    </row>
    <row r="129" ht="15.75" customHeight="1">
      <c r="D129" s="11"/>
      <c r="E129" s="19"/>
    </row>
    <row r="130" ht="15.75" customHeight="1">
      <c r="D130" s="11"/>
      <c r="E130" s="19"/>
    </row>
    <row r="131" ht="15.75" customHeight="1">
      <c r="D131" s="11"/>
      <c r="E131" s="19"/>
    </row>
    <row r="132" ht="15.75" customHeight="1">
      <c r="D132" s="11"/>
      <c r="E132" s="19"/>
    </row>
    <row r="133" ht="15.75" customHeight="1">
      <c r="D133" s="11"/>
      <c r="E133" s="19"/>
    </row>
    <row r="134" ht="15.75" customHeight="1">
      <c r="D134" s="11"/>
      <c r="E134" s="19"/>
    </row>
    <row r="135" ht="15.75" customHeight="1">
      <c r="D135" s="11"/>
      <c r="E135" s="19"/>
    </row>
    <row r="136" ht="15.75" customHeight="1">
      <c r="D136" s="11"/>
      <c r="E136" s="19"/>
    </row>
    <row r="137" ht="15.75" customHeight="1">
      <c r="D137" s="11"/>
      <c r="E137" s="19"/>
    </row>
    <row r="138" ht="15.75" customHeight="1">
      <c r="D138" s="11"/>
      <c r="E138" s="19"/>
    </row>
    <row r="139" ht="15.75" customHeight="1">
      <c r="D139" s="11"/>
      <c r="E139" s="19"/>
    </row>
    <row r="140" ht="15.75" customHeight="1">
      <c r="D140" s="11"/>
      <c r="E140" s="19"/>
    </row>
    <row r="141" ht="15.75" customHeight="1">
      <c r="D141" s="11"/>
      <c r="E141" s="19"/>
    </row>
    <row r="142" ht="15.75" customHeight="1">
      <c r="D142" s="11"/>
      <c r="E142" s="19"/>
    </row>
    <row r="143" ht="15.75" customHeight="1">
      <c r="D143" s="11"/>
      <c r="E143" s="19"/>
    </row>
    <row r="144" ht="15.75" customHeight="1">
      <c r="D144" s="11"/>
      <c r="E144" s="19"/>
    </row>
    <row r="145" ht="15.75" customHeight="1">
      <c r="D145" s="11"/>
      <c r="E145" s="19"/>
    </row>
    <row r="146" ht="15.75" customHeight="1">
      <c r="D146" s="11"/>
      <c r="E146" s="19"/>
    </row>
    <row r="147" ht="15.75" customHeight="1">
      <c r="D147" s="11"/>
      <c r="E147" s="19"/>
    </row>
    <row r="148" ht="15.75" customHeight="1">
      <c r="D148" s="11"/>
      <c r="E148" s="19"/>
    </row>
    <row r="149" ht="15.75" customHeight="1">
      <c r="D149" s="11"/>
      <c r="E149" s="19"/>
    </row>
    <row r="150" ht="15.75" customHeight="1">
      <c r="D150" s="11"/>
      <c r="E150" s="19"/>
    </row>
    <row r="151" ht="15.75" customHeight="1">
      <c r="D151" s="11"/>
      <c r="E151" s="19"/>
    </row>
    <row r="152" ht="15.75" customHeight="1">
      <c r="D152" s="11"/>
      <c r="E152" s="19"/>
    </row>
    <row r="153" ht="15.75" customHeight="1">
      <c r="D153" s="11"/>
      <c r="E153" s="19"/>
    </row>
    <row r="154" ht="15.75" customHeight="1">
      <c r="D154" s="11"/>
      <c r="E154" s="19"/>
    </row>
    <row r="155" ht="15.75" customHeight="1">
      <c r="D155" s="11"/>
      <c r="E155" s="19"/>
    </row>
    <row r="156" ht="15.75" customHeight="1">
      <c r="D156" s="11"/>
      <c r="E156" s="19"/>
    </row>
    <row r="157" ht="15.75" customHeight="1">
      <c r="D157" s="11"/>
      <c r="E157" s="19"/>
    </row>
    <row r="158" ht="15.75" customHeight="1">
      <c r="D158" s="11"/>
      <c r="E158" s="19"/>
    </row>
    <row r="159" ht="15.75" customHeight="1">
      <c r="D159" s="11"/>
      <c r="E159" s="19"/>
    </row>
    <row r="160" ht="15.75" customHeight="1">
      <c r="D160" s="11"/>
      <c r="E160" s="19"/>
    </row>
    <row r="161" ht="15.75" customHeight="1">
      <c r="D161" s="11"/>
      <c r="E161" s="19"/>
    </row>
    <row r="162" ht="15.75" customHeight="1">
      <c r="D162" s="11"/>
      <c r="E162" s="19"/>
    </row>
    <row r="163" ht="15.75" customHeight="1">
      <c r="D163" s="11"/>
      <c r="E163" s="19"/>
    </row>
    <row r="164" ht="15.75" customHeight="1">
      <c r="D164" s="11"/>
      <c r="E164" s="19"/>
    </row>
    <row r="165" ht="15.75" customHeight="1">
      <c r="D165" s="11"/>
      <c r="E165" s="19"/>
    </row>
    <row r="166" ht="15.75" customHeight="1">
      <c r="D166" s="11"/>
      <c r="E166" s="19"/>
    </row>
    <row r="167" ht="15.75" customHeight="1">
      <c r="D167" s="11"/>
      <c r="E167" s="19"/>
    </row>
    <row r="168" ht="15.75" customHeight="1">
      <c r="D168" s="11"/>
      <c r="E168" s="19"/>
    </row>
    <row r="169" ht="15.75" customHeight="1">
      <c r="D169" s="11"/>
      <c r="E169" s="19"/>
    </row>
    <row r="170" ht="15.75" customHeight="1">
      <c r="D170" s="11"/>
      <c r="E170" s="19"/>
    </row>
    <row r="171" ht="15.75" customHeight="1">
      <c r="D171" s="11"/>
      <c r="E171" s="19"/>
    </row>
    <row r="172" ht="15.75" customHeight="1">
      <c r="D172" s="11"/>
      <c r="E172" s="19"/>
    </row>
    <row r="173" ht="15.75" customHeight="1">
      <c r="D173" s="11"/>
      <c r="E173" s="19"/>
    </row>
    <row r="174" ht="15.75" customHeight="1">
      <c r="D174" s="11"/>
      <c r="E174" s="19"/>
    </row>
    <row r="175" ht="15.75" customHeight="1">
      <c r="D175" s="11"/>
      <c r="E175" s="19"/>
    </row>
    <row r="176" ht="15.75" customHeight="1">
      <c r="D176" s="11"/>
      <c r="E176" s="19"/>
    </row>
    <row r="177" ht="15.75" customHeight="1">
      <c r="D177" s="11"/>
      <c r="E177" s="19"/>
    </row>
    <row r="178" ht="15.75" customHeight="1">
      <c r="D178" s="11"/>
      <c r="E178" s="19"/>
    </row>
    <row r="179" ht="15.75" customHeight="1">
      <c r="D179" s="11"/>
      <c r="E179" s="19"/>
    </row>
    <row r="180" ht="15.75" customHeight="1">
      <c r="D180" s="11"/>
      <c r="E180" s="19"/>
    </row>
    <row r="181" ht="15.75" customHeight="1">
      <c r="D181" s="11"/>
      <c r="E181" s="19"/>
    </row>
    <row r="182" ht="15.75" customHeight="1">
      <c r="D182" s="11"/>
      <c r="E182" s="19"/>
    </row>
    <row r="183" ht="15.75" customHeight="1">
      <c r="D183" s="11"/>
      <c r="E183" s="19"/>
    </row>
    <row r="184" ht="15.75" customHeight="1">
      <c r="D184" s="11"/>
      <c r="E184" s="19"/>
    </row>
    <row r="185" ht="15.75" customHeight="1">
      <c r="D185" s="11"/>
      <c r="E185" s="19"/>
    </row>
    <row r="186" ht="15.75" customHeight="1">
      <c r="D186" s="11"/>
      <c r="E186" s="19"/>
    </row>
    <row r="187" ht="15.75" customHeight="1">
      <c r="D187" s="11"/>
      <c r="E187" s="19"/>
    </row>
    <row r="188" ht="15.75" customHeight="1">
      <c r="D188" s="11"/>
      <c r="E188" s="19"/>
    </row>
    <row r="189" ht="15.75" customHeight="1">
      <c r="D189" s="11"/>
      <c r="E189" s="19"/>
    </row>
    <row r="190" ht="15.75" customHeight="1">
      <c r="D190" s="11"/>
      <c r="E190" s="19"/>
    </row>
    <row r="191" ht="15.75" customHeight="1">
      <c r="D191" s="11"/>
      <c r="E191" s="19"/>
    </row>
    <row r="192" ht="15.75" customHeight="1">
      <c r="D192" s="11"/>
      <c r="E192" s="19"/>
    </row>
    <row r="193" ht="15.75" customHeight="1">
      <c r="D193" s="11"/>
      <c r="E193" s="19"/>
    </row>
    <row r="194" ht="15.75" customHeight="1">
      <c r="D194" s="11"/>
      <c r="E194" s="19"/>
    </row>
    <row r="195" ht="15.75" customHeight="1">
      <c r="D195" s="11"/>
      <c r="E195" s="19"/>
    </row>
    <row r="196" ht="15.75" customHeight="1">
      <c r="D196" s="11"/>
      <c r="E196" s="19"/>
    </row>
    <row r="197" ht="15.75" customHeight="1">
      <c r="D197" s="11"/>
      <c r="E197" s="19"/>
    </row>
    <row r="198" ht="15.75" customHeight="1">
      <c r="D198" s="11"/>
      <c r="E198" s="19"/>
    </row>
    <row r="199" ht="15.75" customHeight="1">
      <c r="D199" s="11"/>
      <c r="E199" s="19"/>
    </row>
    <row r="200" ht="15.75" customHeight="1">
      <c r="D200" s="11"/>
      <c r="E200" s="19"/>
    </row>
    <row r="201" ht="15.75" customHeight="1">
      <c r="D201" s="11"/>
      <c r="E201" s="19"/>
    </row>
    <row r="202" ht="15.75" customHeight="1">
      <c r="D202" s="11"/>
      <c r="E202" s="19"/>
    </row>
    <row r="203" ht="15.75" customHeight="1">
      <c r="D203" s="11"/>
      <c r="E203" s="19"/>
    </row>
    <row r="204" ht="15.75" customHeight="1">
      <c r="D204" s="11"/>
      <c r="E204" s="19"/>
    </row>
    <row r="205" ht="15.75" customHeight="1">
      <c r="D205" s="11"/>
      <c r="E205" s="19"/>
    </row>
    <row r="206" ht="15.75" customHeight="1">
      <c r="D206" s="11"/>
      <c r="E206" s="19"/>
    </row>
    <row r="207" ht="15.75" customHeight="1">
      <c r="D207" s="11"/>
      <c r="E207" s="19"/>
    </row>
    <row r="208" ht="15.75" customHeight="1">
      <c r="D208" s="11"/>
      <c r="E208" s="19"/>
    </row>
    <row r="209" ht="15.75" customHeight="1">
      <c r="D209" s="11"/>
      <c r="E209" s="19"/>
    </row>
    <row r="210" ht="15.75" customHeight="1">
      <c r="D210" s="11"/>
      <c r="E210" s="19"/>
    </row>
    <row r="211" ht="15.75" customHeight="1">
      <c r="D211" s="11"/>
      <c r="E211" s="19"/>
    </row>
    <row r="212" ht="15.75" customHeight="1">
      <c r="D212" s="11"/>
      <c r="E212" s="19"/>
    </row>
    <row r="213" ht="15.75" customHeight="1">
      <c r="D213" s="11"/>
      <c r="E213" s="19"/>
    </row>
    <row r="214" ht="15.75" customHeight="1">
      <c r="D214" s="11"/>
      <c r="E214" s="19"/>
    </row>
    <row r="215" ht="15.75" customHeight="1">
      <c r="D215" s="11"/>
      <c r="E215" s="19"/>
    </row>
    <row r="216" ht="15.75" customHeight="1">
      <c r="D216" s="11"/>
      <c r="E216" s="19"/>
    </row>
    <row r="217" ht="15.75" customHeight="1">
      <c r="D217" s="11"/>
      <c r="E217" s="19"/>
    </row>
    <row r="218" ht="15.75" customHeight="1">
      <c r="D218" s="11"/>
      <c r="E218" s="19"/>
    </row>
    <row r="219" ht="15.75" customHeight="1">
      <c r="D219" s="11"/>
      <c r="E219" s="19"/>
    </row>
    <row r="220" ht="15.75" customHeight="1">
      <c r="D220" s="11"/>
      <c r="E220" s="19"/>
    </row>
    <row r="221" ht="15.75" customHeight="1">
      <c r="D221" s="11"/>
      <c r="E221" s="19"/>
    </row>
    <row r="222" ht="15.75" customHeight="1">
      <c r="D222" s="11"/>
      <c r="E222" s="19"/>
    </row>
    <row r="223" ht="15.75" customHeight="1">
      <c r="D223" s="11"/>
      <c r="E223" s="19"/>
    </row>
    <row r="224" ht="15.75" customHeight="1">
      <c r="D224" s="11"/>
      <c r="E224" s="19"/>
    </row>
    <row r="225" ht="15.75" customHeight="1">
      <c r="D225" s="11"/>
      <c r="E225" s="19"/>
    </row>
    <row r="226" ht="15.75" customHeight="1">
      <c r="D226" s="11"/>
      <c r="E226" s="19"/>
    </row>
    <row r="227" ht="15.75" customHeight="1">
      <c r="D227" s="11"/>
      <c r="E227" s="19"/>
    </row>
    <row r="228" ht="15.75" customHeight="1">
      <c r="D228" s="11"/>
      <c r="E228" s="19"/>
    </row>
    <row r="229" ht="15.75" customHeight="1">
      <c r="D229" s="11"/>
      <c r="E229" s="19"/>
    </row>
    <row r="230" ht="15.75" customHeight="1">
      <c r="D230" s="11"/>
      <c r="E230" s="19"/>
    </row>
    <row r="231" ht="15.75" customHeight="1">
      <c r="D231" s="11"/>
      <c r="E231" s="19"/>
    </row>
    <row r="232" ht="15.75" customHeight="1">
      <c r="D232" s="11"/>
      <c r="E232" s="19"/>
    </row>
    <row r="233" ht="15.75" customHeight="1">
      <c r="D233" s="11"/>
      <c r="E233" s="19"/>
    </row>
    <row r="234" ht="15.75" customHeight="1">
      <c r="D234" s="11"/>
      <c r="E234" s="19"/>
    </row>
    <row r="235" ht="15.75" customHeight="1">
      <c r="D235" s="11"/>
      <c r="E235" s="19"/>
    </row>
    <row r="236" ht="15.75" customHeight="1">
      <c r="D236" s="11"/>
      <c r="E236" s="19"/>
    </row>
    <row r="237" ht="15.75" customHeight="1">
      <c r="D237" s="11"/>
      <c r="E237" s="19"/>
    </row>
    <row r="238" ht="15.75" customHeight="1">
      <c r="D238" s="11"/>
      <c r="E238" s="19"/>
    </row>
    <row r="239" ht="15.75" customHeight="1">
      <c r="D239" s="11"/>
      <c r="E239" s="19"/>
    </row>
    <row r="240" ht="15.75" customHeight="1">
      <c r="D240" s="11"/>
      <c r="E240" s="19"/>
    </row>
    <row r="241" ht="15.75" customHeight="1">
      <c r="D241" s="11"/>
      <c r="E241" s="19"/>
    </row>
    <row r="242" ht="15.75" customHeight="1">
      <c r="D242" s="11"/>
      <c r="E242" s="19"/>
    </row>
    <row r="243" ht="15.75" customHeight="1">
      <c r="D243" s="11"/>
      <c r="E243" s="19"/>
    </row>
    <row r="244" ht="15.75" customHeight="1">
      <c r="D244" s="11"/>
      <c r="E244" s="19"/>
    </row>
    <row r="245" ht="15.75" customHeight="1">
      <c r="D245" s="11"/>
      <c r="E245" s="19"/>
    </row>
    <row r="246" ht="15.75" customHeight="1">
      <c r="D246" s="11"/>
      <c r="E246" s="19"/>
    </row>
    <row r="247" ht="15.75" customHeight="1">
      <c r="D247" s="11"/>
      <c r="E247" s="19"/>
    </row>
    <row r="248" ht="15.75" customHeight="1">
      <c r="D248" s="11"/>
      <c r="E248" s="19"/>
    </row>
    <row r="249" ht="15.75" customHeight="1">
      <c r="D249" s="11"/>
      <c r="E249" s="19"/>
    </row>
    <row r="250" ht="15.75" customHeight="1">
      <c r="D250" s="11"/>
      <c r="E250" s="19"/>
    </row>
    <row r="251" ht="15.75" customHeight="1">
      <c r="D251" s="11"/>
      <c r="E251" s="19"/>
    </row>
    <row r="252" ht="15.75" customHeight="1">
      <c r="D252" s="11"/>
      <c r="E252" s="19"/>
    </row>
    <row r="253" ht="15.75" customHeight="1">
      <c r="D253" s="11"/>
      <c r="E253" s="19"/>
    </row>
    <row r="254" ht="15.75" customHeight="1">
      <c r="D254" s="11"/>
      <c r="E254" s="19"/>
    </row>
    <row r="255" ht="15.75" customHeight="1">
      <c r="D255" s="11"/>
      <c r="E255" s="19"/>
    </row>
    <row r="256" ht="15.75" customHeight="1">
      <c r="D256" s="11"/>
      <c r="E256" s="19"/>
    </row>
    <row r="257" ht="15.75" customHeight="1">
      <c r="D257" s="11"/>
      <c r="E257" s="19"/>
    </row>
    <row r="258" ht="15.75" customHeight="1">
      <c r="D258" s="11"/>
      <c r="E258" s="19"/>
    </row>
    <row r="259" ht="15.75" customHeight="1">
      <c r="D259" s="11"/>
      <c r="E259" s="19"/>
    </row>
    <row r="260" ht="15.75" customHeight="1">
      <c r="D260" s="11"/>
      <c r="E260" s="19"/>
    </row>
    <row r="261" ht="15.75" customHeight="1">
      <c r="D261" s="11"/>
      <c r="E261" s="19"/>
    </row>
    <row r="262" ht="15.75" customHeight="1">
      <c r="D262" s="11"/>
      <c r="E262" s="19"/>
    </row>
    <row r="263" ht="15.75" customHeight="1">
      <c r="D263" s="11"/>
      <c r="E263" s="19"/>
    </row>
    <row r="264" ht="15.75" customHeight="1">
      <c r="D264" s="11"/>
      <c r="E264" s="19"/>
    </row>
    <row r="265" ht="15.75" customHeight="1">
      <c r="D265" s="11"/>
      <c r="E265" s="19"/>
    </row>
    <row r="266" ht="15.75" customHeight="1">
      <c r="D266" s="11"/>
      <c r="E266" s="19"/>
    </row>
    <row r="267" ht="15.75" customHeight="1">
      <c r="D267" s="11"/>
      <c r="E267" s="19"/>
    </row>
    <row r="268" ht="15.75" customHeight="1">
      <c r="D268" s="11"/>
      <c r="E268" s="19"/>
    </row>
    <row r="269" ht="15.75" customHeight="1">
      <c r="D269" s="11"/>
      <c r="E269" s="19"/>
    </row>
    <row r="270" ht="15.75" customHeight="1">
      <c r="D270" s="11"/>
      <c r="E270" s="19"/>
    </row>
    <row r="271" ht="15.75" customHeight="1">
      <c r="D271" s="11"/>
      <c r="E271" s="19"/>
    </row>
    <row r="272" ht="15.75" customHeight="1">
      <c r="D272" s="11"/>
      <c r="E272" s="19"/>
    </row>
    <row r="273" ht="15.75" customHeight="1">
      <c r="D273" s="11"/>
      <c r="E273" s="19"/>
    </row>
    <row r="274" ht="15.75" customHeight="1">
      <c r="D274" s="11"/>
      <c r="E274" s="19"/>
    </row>
    <row r="275" ht="15.75" customHeight="1">
      <c r="D275" s="11"/>
      <c r="E275" s="19"/>
    </row>
    <row r="276" ht="15.75" customHeight="1">
      <c r="D276" s="11"/>
      <c r="E276" s="19"/>
    </row>
    <row r="277" ht="15.75" customHeight="1">
      <c r="D277" s="11"/>
      <c r="E277" s="19"/>
    </row>
    <row r="278" ht="15.75" customHeight="1">
      <c r="D278" s="11"/>
      <c r="E278" s="19"/>
    </row>
    <row r="279" ht="15.75" customHeight="1">
      <c r="D279" s="11"/>
      <c r="E279" s="19"/>
    </row>
    <row r="280" ht="15.75" customHeight="1">
      <c r="D280" s="11"/>
      <c r="E280" s="19"/>
    </row>
    <row r="281" ht="15.75" customHeight="1">
      <c r="D281" s="11"/>
      <c r="E281" s="19"/>
    </row>
    <row r="282" ht="15.75" customHeight="1">
      <c r="D282" s="11"/>
      <c r="E282" s="19"/>
    </row>
    <row r="283" ht="15.75" customHeight="1">
      <c r="D283" s="11"/>
      <c r="E283" s="19"/>
    </row>
    <row r="284" ht="15.75" customHeight="1">
      <c r="D284" s="11"/>
      <c r="E284" s="19"/>
    </row>
    <row r="285" ht="15.75" customHeight="1">
      <c r="D285" s="11"/>
      <c r="E285" s="19"/>
    </row>
    <row r="286" ht="15.75" customHeight="1">
      <c r="D286" s="11"/>
      <c r="E286" s="19"/>
    </row>
    <row r="287" ht="15.75" customHeight="1">
      <c r="D287" s="11"/>
      <c r="E287" s="19"/>
    </row>
    <row r="288" ht="15.75" customHeight="1">
      <c r="D288" s="11"/>
      <c r="E288" s="19"/>
    </row>
    <row r="289" ht="15.75" customHeight="1">
      <c r="D289" s="11"/>
      <c r="E289" s="19"/>
    </row>
    <row r="290" ht="15.75" customHeight="1">
      <c r="D290" s="11"/>
      <c r="E290" s="19"/>
    </row>
    <row r="291" ht="15.75" customHeight="1">
      <c r="D291" s="11"/>
      <c r="E291" s="19"/>
    </row>
    <row r="292" ht="15.75" customHeight="1">
      <c r="D292" s="11"/>
      <c r="E292" s="19"/>
    </row>
    <row r="293" ht="15.75" customHeight="1">
      <c r="D293" s="11"/>
      <c r="E293" s="19"/>
    </row>
    <row r="294" ht="15.75" customHeight="1">
      <c r="D294" s="11"/>
      <c r="E294" s="19"/>
    </row>
    <row r="295" ht="15.75" customHeight="1">
      <c r="D295" s="11"/>
      <c r="E295" s="19"/>
    </row>
    <row r="296" ht="15.75" customHeight="1">
      <c r="D296" s="11"/>
      <c r="E296" s="19"/>
    </row>
    <row r="297" ht="15.75" customHeight="1">
      <c r="D297" s="11"/>
      <c r="E297" s="19"/>
    </row>
    <row r="298" ht="15.75" customHeight="1">
      <c r="D298" s="11"/>
      <c r="E298" s="19"/>
    </row>
    <row r="299" ht="15.75" customHeight="1">
      <c r="D299" s="11"/>
      <c r="E299" s="19"/>
    </row>
    <row r="300" ht="15.75" customHeight="1">
      <c r="D300" s="11"/>
      <c r="E300" s="19"/>
    </row>
    <row r="301" ht="15.75" customHeight="1">
      <c r="D301" s="11"/>
      <c r="E301" s="19"/>
    </row>
    <row r="302" ht="15.75" customHeight="1">
      <c r="D302" s="11"/>
      <c r="E302" s="19"/>
    </row>
    <row r="303" ht="15.75" customHeight="1">
      <c r="D303" s="11"/>
      <c r="E303" s="19"/>
    </row>
    <row r="304" ht="15.75" customHeight="1">
      <c r="D304" s="11"/>
      <c r="E304" s="19"/>
    </row>
    <row r="305" ht="15.75" customHeight="1">
      <c r="D305" s="11"/>
      <c r="E305" s="19"/>
    </row>
    <row r="306" ht="15.75" customHeight="1">
      <c r="D306" s="11"/>
      <c r="E306" s="19"/>
    </row>
    <row r="307" ht="15.75" customHeight="1">
      <c r="D307" s="11"/>
      <c r="E307" s="19"/>
    </row>
    <row r="308" ht="15.75" customHeight="1">
      <c r="D308" s="11"/>
      <c r="E308" s="19"/>
    </row>
    <row r="309" ht="15.75" customHeight="1">
      <c r="D309" s="11"/>
      <c r="E309" s="19"/>
    </row>
    <row r="310" ht="15.75" customHeight="1">
      <c r="D310" s="11"/>
      <c r="E310" s="19"/>
    </row>
    <row r="311" ht="15.75" customHeight="1">
      <c r="D311" s="11"/>
      <c r="E311" s="19"/>
    </row>
    <row r="312" ht="15.75" customHeight="1">
      <c r="D312" s="11"/>
      <c r="E312" s="19"/>
    </row>
    <row r="313" ht="15.75" customHeight="1">
      <c r="D313" s="11"/>
      <c r="E313" s="19"/>
    </row>
    <row r="314" ht="15.75" customHeight="1">
      <c r="D314" s="11"/>
      <c r="E314" s="19"/>
    </row>
    <row r="315" ht="15.75" customHeight="1">
      <c r="D315" s="11"/>
      <c r="E315" s="19"/>
    </row>
    <row r="316" ht="15.75" customHeight="1">
      <c r="D316" s="11"/>
      <c r="E316" s="19"/>
    </row>
    <row r="317" ht="15.75" customHeight="1">
      <c r="D317" s="11"/>
      <c r="E317" s="19"/>
    </row>
    <row r="318" ht="15.75" customHeight="1">
      <c r="D318" s="11"/>
      <c r="E318" s="19"/>
    </row>
    <row r="319" ht="15.75" customHeight="1">
      <c r="D319" s="11"/>
      <c r="E319" s="19"/>
    </row>
    <row r="320" ht="15.75" customHeight="1">
      <c r="D320" s="11"/>
      <c r="E320" s="19"/>
    </row>
    <row r="321" ht="15.75" customHeight="1">
      <c r="D321" s="11"/>
      <c r="E321" s="19"/>
    </row>
    <row r="322" ht="15.75" customHeight="1">
      <c r="D322" s="11"/>
      <c r="E322" s="19"/>
    </row>
    <row r="323" ht="15.75" customHeight="1">
      <c r="D323" s="11"/>
      <c r="E323" s="19"/>
    </row>
    <row r="324" ht="15.75" customHeight="1">
      <c r="D324" s="11"/>
      <c r="E324" s="19"/>
    </row>
    <row r="325" ht="15.75" customHeight="1">
      <c r="D325" s="11"/>
      <c r="E325" s="19"/>
    </row>
    <row r="326" ht="15.75" customHeight="1">
      <c r="D326" s="11"/>
      <c r="E326" s="19"/>
    </row>
    <row r="327" ht="15.75" customHeight="1">
      <c r="D327" s="11"/>
      <c r="E327" s="19"/>
    </row>
    <row r="328" ht="15.75" customHeight="1">
      <c r="D328" s="11"/>
      <c r="E328" s="19"/>
    </row>
    <row r="329" ht="15.75" customHeight="1">
      <c r="D329" s="11"/>
      <c r="E329" s="19"/>
    </row>
    <row r="330" ht="15.75" customHeight="1">
      <c r="D330" s="11"/>
      <c r="E330" s="19"/>
    </row>
    <row r="331" ht="15.75" customHeight="1">
      <c r="D331" s="11"/>
      <c r="E331" s="19"/>
    </row>
    <row r="332" ht="15.75" customHeight="1">
      <c r="D332" s="11"/>
      <c r="E332" s="19"/>
    </row>
    <row r="333" ht="15.75" customHeight="1">
      <c r="D333" s="11"/>
      <c r="E333" s="19"/>
    </row>
    <row r="334" ht="15.75" customHeight="1">
      <c r="D334" s="11"/>
      <c r="E334" s="19"/>
    </row>
    <row r="335" ht="15.75" customHeight="1">
      <c r="D335" s="11"/>
      <c r="E335" s="19"/>
    </row>
    <row r="336" ht="15.75" customHeight="1">
      <c r="D336" s="11"/>
      <c r="E336" s="19"/>
    </row>
    <row r="337" ht="15.75" customHeight="1">
      <c r="D337" s="11"/>
      <c r="E337" s="19"/>
    </row>
    <row r="338" ht="15.75" customHeight="1">
      <c r="D338" s="11"/>
      <c r="E338" s="19"/>
    </row>
    <row r="339" ht="15.75" customHeight="1">
      <c r="D339" s="11"/>
      <c r="E339" s="19"/>
    </row>
    <row r="340" ht="15.75" customHeight="1">
      <c r="D340" s="11"/>
      <c r="E340" s="19"/>
    </row>
    <row r="341" ht="15.75" customHeight="1">
      <c r="D341" s="11"/>
      <c r="E341" s="19"/>
    </row>
    <row r="342" ht="15.75" customHeight="1">
      <c r="D342" s="11"/>
      <c r="E342" s="19"/>
    </row>
    <row r="343" ht="15.75" customHeight="1">
      <c r="D343" s="11"/>
      <c r="E343" s="19"/>
    </row>
    <row r="344" ht="15.75" customHeight="1">
      <c r="D344" s="11"/>
      <c r="E344" s="19"/>
    </row>
    <row r="345" ht="15.75" customHeight="1">
      <c r="D345" s="11"/>
      <c r="E345" s="19"/>
    </row>
    <row r="346" ht="15.75" customHeight="1">
      <c r="D346" s="11"/>
      <c r="E346" s="19"/>
    </row>
    <row r="347" ht="15.75" customHeight="1">
      <c r="D347" s="11"/>
      <c r="E347" s="19"/>
    </row>
    <row r="348" ht="15.75" customHeight="1">
      <c r="D348" s="11"/>
      <c r="E348" s="19"/>
    </row>
    <row r="349" ht="15.75" customHeight="1">
      <c r="D349" s="11"/>
      <c r="E349" s="19"/>
    </row>
    <row r="350" ht="15.75" customHeight="1">
      <c r="D350" s="11"/>
      <c r="E350" s="19"/>
    </row>
    <row r="351" ht="15.75" customHeight="1">
      <c r="D351" s="11"/>
      <c r="E351" s="19"/>
    </row>
    <row r="352" ht="15.75" customHeight="1">
      <c r="D352" s="11"/>
      <c r="E352" s="19"/>
    </row>
    <row r="353" ht="15.75" customHeight="1">
      <c r="D353" s="11"/>
      <c r="E353" s="19"/>
    </row>
    <row r="354" ht="15.75" customHeight="1">
      <c r="D354" s="11"/>
      <c r="E354" s="19"/>
    </row>
    <row r="355" ht="15.75" customHeight="1">
      <c r="D355" s="11"/>
      <c r="E355" s="19"/>
    </row>
    <row r="356" ht="15.75" customHeight="1">
      <c r="D356" s="11"/>
      <c r="E356" s="19"/>
    </row>
    <row r="357" ht="15.75" customHeight="1">
      <c r="D357" s="11"/>
      <c r="E357" s="19"/>
    </row>
    <row r="358" ht="15.75" customHeight="1">
      <c r="D358" s="11"/>
      <c r="E358" s="19"/>
    </row>
    <row r="359" ht="15.75" customHeight="1">
      <c r="D359" s="11"/>
      <c r="E359" s="19"/>
    </row>
    <row r="360" ht="15.75" customHeight="1">
      <c r="D360" s="11"/>
      <c r="E360" s="19"/>
    </row>
    <row r="361" ht="15.75" customHeight="1">
      <c r="D361" s="11"/>
      <c r="E361" s="19"/>
    </row>
    <row r="362" ht="15.75" customHeight="1">
      <c r="D362" s="11"/>
      <c r="E362" s="19"/>
    </row>
    <row r="363" ht="15.75" customHeight="1">
      <c r="D363" s="11"/>
      <c r="E363" s="19"/>
    </row>
    <row r="364" ht="15.75" customHeight="1">
      <c r="D364" s="11"/>
      <c r="E364" s="19"/>
    </row>
    <row r="365" ht="15.75" customHeight="1">
      <c r="D365" s="11"/>
      <c r="E365" s="19"/>
    </row>
    <row r="366" ht="15.75" customHeight="1">
      <c r="D366" s="11"/>
      <c r="E366" s="19"/>
    </row>
    <row r="367" ht="15.75" customHeight="1">
      <c r="D367" s="11"/>
      <c r="E367" s="19"/>
    </row>
    <row r="368" ht="15.75" customHeight="1">
      <c r="D368" s="11"/>
      <c r="E368" s="19"/>
    </row>
    <row r="369" ht="15.75" customHeight="1">
      <c r="D369" s="11"/>
      <c r="E369" s="19"/>
    </row>
    <row r="370" ht="15.75" customHeight="1">
      <c r="D370" s="11"/>
      <c r="E370" s="19"/>
    </row>
    <row r="371" ht="15.75" customHeight="1">
      <c r="D371" s="11"/>
      <c r="E371" s="19"/>
    </row>
    <row r="372" ht="15.75" customHeight="1">
      <c r="D372" s="11"/>
      <c r="E372" s="19"/>
    </row>
    <row r="373" ht="15.75" customHeight="1">
      <c r="D373" s="11"/>
      <c r="E373" s="19"/>
    </row>
    <row r="374" ht="15.75" customHeight="1">
      <c r="D374" s="11"/>
      <c r="E374" s="19"/>
    </row>
    <row r="375" ht="15.75" customHeight="1">
      <c r="D375" s="11"/>
      <c r="E375" s="19"/>
    </row>
    <row r="376" ht="15.75" customHeight="1">
      <c r="D376" s="11"/>
      <c r="E376" s="19"/>
    </row>
    <row r="377" ht="15.75" customHeight="1">
      <c r="D377" s="11"/>
      <c r="E377" s="19"/>
    </row>
    <row r="378" ht="15.75" customHeight="1">
      <c r="D378" s="11"/>
      <c r="E378" s="19"/>
    </row>
    <row r="379" ht="15.75" customHeight="1">
      <c r="D379" s="11"/>
      <c r="E379" s="19"/>
    </row>
    <row r="380" ht="15.75" customHeight="1">
      <c r="D380" s="11"/>
      <c r="E380" s="19"/>
    </row>
    <row r="381" ht="15.75" customHeight="1">
      <c r="D381" s="11"/>
      <c r="E381" s="19"/>
    </row>
    <row r="382" ht="15.75" customHeight="1">
      <c r="D382" s="11"/>
      <c r="E382" s="19"/>
    </row>
    <row r="383" ht="15.75" customHeight="1">
      <c r="D383" s="11"/>
      <c r="E383" s="19"/>
    </row>
    <row r="384" ht="15.75" customHeight="1">
      <c r="D384" s="11"/>
      <c r="E384" s="19"/>
    </row>
    <row r="385" ht="15.75" customHeight="1">
      <c r="D385" s="11"/>
      <c r="E385" s="19"/>
    </row>
    <row r="386" ht="15.75" customHeight="1">
      <c r="D386" s="11"/>
      <c r="E386" s="19"/>
    </row>
    <row r="387" ht="15.75" customHeight="1">
      <c r="D387" s="11"/>
      <c r="E387" s="19"/>
    </row>
    <row r="388" ht="15.75" customHeight="1">
      <c r="D388" s="11"/>
      <c r="E388" s="19"/>
    </row>
    <row r="389" ht="15.75" customHeight="1">
      <c r="D389" s="11"/>
      <c r="E389" s="19"/>
    </row>
    <row r="390" ht="15.75" customHeight="1">
      <c r="D390" s="11"/>
      <c r="E390" s="19"/>
    </row>
    <row r="391" ht="15.75" customHeight="1">
      <c r="D391" s="11"/>
      <c r="E391" s="19"/>
    </row>
    <row r="392" ht="15.75" customHeight="1">
      <c r="D392" s="11"/>
      <c r="E392" s="19"/>
    </row>
    <row r="393" ht="15.75" customHeight="1">
      <c r="D393" s="11"/>
      <c r="E393" s="19"/>
    </row>
    <row r="394" ht="15.75" customHeight="1">
      <c r="D394" s="11"/>
      <c r="E394" s="19"/>
    </row>
    <row r="395" ht="15.75" customHeight="1">
      <c r="D395" s="11"/>
      <c r="E395" s="19"/>
    </row>
    <row r="396" ht="15.75" customHeight="1">
      <c r="D396" s="11"/>
      <c r="E396" s="19"/>
    </row>
    <row r="397" ht="15.75" customHeight="1">
      <c r="D397" s="11"/>
      <c r="E397" s="19"/>
    </row>
    <row r="398" ht="15.75" customHeight="1">
      <c r="D398" s="11"/>
      <c r="E398" s="19"/>
    </row>
    <row r="399" ht="15.75" customHeight="1">
      <c r="D399" s="11"/>
      <c r="E399" s="19"/>
    </row>
    <row r="400" ht="15.75" customHeight="1">
      <c r="D400" s="11"/>
      <c r="E400" s="19"/>
    </row>
    <row r="401" ht="15.75" customHeight="1">
      <c r="D401" s="11"/>
      <c r="E401" s="19"/>
    </row>
    <row r="402" ht="15.75" customHeight="1">
      <c r="D402" s="11"/>
      <c r="E402" s="19"/>
    </row>
    <row r="403" ht="15.75" customHeight="1">
      <c r="D403" s="11"/>
      <c r="E403" s="19"/>
    </row>
    <row r="404" ht="15.75" customHeight="1">
      <c r="D404" s="11"/>
      <c r="E404" s="19"/>
    </row>
    <row r="405" ht="15.75" customHeight="1">
      <c r="D405" s="11"/>
      <c r="E405" s="19"/>
    </row>
    <row r="406" ht="15.75" customHeight="1">
      <c r="D406" s="11"/>
      <c r="E406" s="19"/>
    </row>
    <row r="407" ht="15.75" customHeight="1">
      <c r="D407" s="11"/>
      <c r="E407" s="19"/>
    </row>
    <row r="408" ht="15.75" customHeight="1">
      <c r="D408" s="11"/>
      <c r="E408" s="19"/>
    </row>
    <row r="409" ht="15.75" customHeight="1">
      <c r="D409" s="11"/>
      <c r="E409" s="19"/>
    </row>
    <row r="410" ht="15.75" customHeight="1">
      <c r="D410" s="11"/>
      <c r="E410" s="19"/>
    </row>
    <row r="411" ht="15.75" customHeight="1">
      <c r="D411" s="11"/>
      <c r="E411" s="19"/>
    </row>
    <row r="412" ht="15.75" customHeight="1">
      <c r="D412" s="11"/>
      <c r="E412" s="19"/>
    </row>
    <row r="413" ht="15.75" customHeight="1">
      <c r="D413" s="11"/>
      <c r="E413" s="19"/>
    </row>
    <row r="414" ht="15.75" customHeight="1">
      <c r="D414" s="11"/>
      <c r="E414" s="19"/>
    </row>
    <row r="415" ht="15.75" customHeight="1">
      <c r="D415" s="11"/>
      <c r="E415" s="19"/>
    </row>
    <row r="416" ht="15.75" customHeight="1">
      <c r="D416" s="11"/>
      <c r="E416" s="19"/>
    </row>
    <row r="417" ht="15.75" customHeight="1">
      <c r="D417" s="11"/>
      <c r="E417" s="19"/>
    </row>
    <row r="418" ht="15.75" customHeight="1">
      <c r="D418" s="11"/>
      <c r="E418" s="19"/>
    </row>
    <row r="419" ht="15.75" customHeight="1">
      <c r="D419" s="11"/>
      <c r="E419" s="19"/>
    </row>
    <row r="420" ht="15.75" customHeight="1">
      <c r="D420" s="11"/>
      <c r="E420" s="19"/>
    </row>
    <row r="421" ht="15.75" customHeight="1">
      <c r="D421" s="11"/>
      <c r="E421" s="19"/>
    </row>
    <row r="422" ht="15.75" customHeight="1">
      <c r="D422" s="11"/>
      <c r="E422" s="19"/>
    </row>
    <row r="423" ht="15.75" customHeight="1">
      <c r="D423" s="11"/>
      <c r="E423" s="19"/>
    </row>
    <row r="424" ht="15.75" customHeight="1">
      <c r="D424" s="11"/>
      <c r="E424" s="19"/>
    </row>
    <row r="425" ht="15.75" customHeight="1">
      <c r="D425" s="11"/>
      <c r="E425" s="19"/>
    </row>
    <row r="426" ht="15.75" customHeight="1">
      <c r="D426" s="11"/>
      <c r="E426" s="19"/>
    </row>
    <row r="427" ht="15.75" customHeight="1">
      <c r="D427" s="11"/>
      <c r="E427" s="19"/>
    </row>
    <row r="428" ht="15.75" customHeight="1">
      <c r="D428" s="11"/>
      <c r="E428" s="19"/>
    </row>
    <row r="429" ht="15.75" customHeight="1">
      <c r="D429" s="11"/>
      <c r="E429" s="19"/>
    </row>
    <row r="430" ht="15.75" customHeight="1">
      <c r="D430" s="11"/>
      <c r="E430" s="19"/>
    </row>
    <row r="431" ht="15.75" customHeight="1">
      <c r="D431" s="11"/>
      <c r="E431" s="19"/>
    </row>
    <row r="432" ht="15.75" customHeight="1">
      <c r="D432" s="11"/>
      <c r="E432" s="19"/>
    </row>
    <row r="433" ht="15.75" customHeight="1">
      <c r="D433" s="11"/>
      <c r="E433" s="19"/>
    </row>
    <row r="434" ht="15.75" customHeight="1">
      <c r="D434" s="11"/>
      <c r="E434" s="19"/>
    </row>
    <row r="435" ht="15.75" customHeight="1">
      <c r="D435" s="11"/>
      <c r="E435" s="19"/>
    </row>
    <row r="436" ht="15.75" customHeight="1">
      <c r="D436" s="11"/>
      <c r="E436" s="19"/>
    </row>
    <row r="437" ht="15.75" customHeight="1">
      <c r="D437" s="11"/>
      <c r="E437" s="19"/>
    </row>
    <row r="438" ht="15.75" customHeight="1">
      <c r="D438" s="11"/>
      <c r="E438" s="19"/>
    </row>
    <row r="439" ht="15.75" customHeight="1">
      <c r="D439" s="11"/>
      <c r="E439" s="19"/>
    </row>
    <row r="440" ht="15.75" customHeight="1">
      <c r="D440" s="11"/>
      <c r="E440" s="19"/>
    </row>
    <row r="441" ht="15.75" customHeight="1">
      <c r="D441" s="11"/>
      <c r="E441" s="19"/>
    </row>
    <row r="442" ht="15.75" customHeight="1">
      <c r="D442" s="11"/>
      <c r="E442" s="19"/>
    </row>
    <row r="443" ht="15.75" customHeight="1">
      <c r="D443" s="11"/>
      <c r="E443" s="19"/>
    </row>
    <row r="444" ht="15.75" customHeight="1">
      <c r="D444" s="11"/>
      <c r="E444" s="19"/>
    </row>
    <row r="445" ht="15.75" customHeight="1">
      <c r="D445" s="11"/>
      <c r="E445" s="19"/>
    </row>
    <row r="446" ht="15.75" customHeight="1">
      <c r="D446" s="11"/>
      <c r="E446" s="19"/>
    </row>
    <row r="447" ht="15.75" customHeight="1">
      <c r="D447" s="11"/>
      <c r="E447" s="19"/>
    </row>
    <row r="448" ht="15.75" customHeight="1">
      <c r="D448" s="11"/>
      <c r="E448" s="19"/>
    </row>
    <row r="449" ht="15.75" customHeight="1">
      <c r="D449" s="11"/>
      <c r="E449" s="19"/>
    </row>
    <row r="450" ht="15.75" customHeight="1">
      <c r="D450" s="11"/>
      <c r="E450" s="19"/>
    </row>
    <row r="451" ht="15.75" customHeight="1">
      <c r="D451" s="11"/>
      <c r="E451" s="19"/>
    </row>
    <row r="452" ht="15.75" customHeight="1">
      <c r="D452" s="11"/>
      <c r="E452" s="19"/>
    </row>
    <row r="453" ht="15.75" customHeight="1">
      <c r="D453" s="11"/>
      <c r="E453" s="19"/>
    </row>
    <row r="454" ht="15.75" customHeight="1">
      <c r="D454" s="11"/>
      <c r="E454" s="19"/>
    </row>
    <row r="455" ht="15.75" customHeight="1">
      <c r="D455" s="11"/>
      <c r="E455" s="19"/>
    </row>
    <row r="456" ht="15.75" customHeight="1">
      <c r="D456" s="11"/>
      <c r="E456" s="19"/>
    </row>
    <row r="457" ht="15.75" customHeight="1">
      <c r="D457" s="11"/>
      <c r="E457" s="19"/>
    </row>
    <row r="458" ht="15.75" customHeight="1">
      <c r="D458" s="11"/>
      <c r="E458" s="19"/>
    </row>
    <row r="459" ht="15.75" customHeight="1">
      <c r="D459" s="11"/>
      <c r="E459" s="19"/>
    </row>
    <row r="460" ht="15.75" customHeight="1">
      <c r="D460" s="11"/>
      <c r="E460" s="19"/>
    </row>
    <row r="461" ht="15.75" customHeight="1">
      <c r="D461" s="11"/>
      <c r="E461" s="19"/>
    </row>
    <row r="462" ht="15.75" customHeight="1">
      <c r="D462" s="11"/>
      <c r="E462" s="19"/>
    </row>
    <row r="463" ht="15.75" customHeight="1">
      <c r="D463" s="11"/>
      <c r="E463" s="19"/>
    </row>
    <row r="464" ht="15.75" customHeight="1">
      <c r="D464" s="11"/>
      <c r="E464" s="19"/>
    </row>
    <row r="465" ht="15.75" customHeight="1">
      <c r="D465" s="11"/>
      <c r="E465" s="19"/>
    </row>
    <row r="466" ht="15.75" customHeight="1">
      <c r="D466" s="11"/>
      <c r="E466" s="19"/>
    </row>
    <row r="467" ht="15.75" customHeight="1">
      <c r="D467" s="11"/>
      <c r="E467" s="19"/>
    </row>
    <row r="468" ht="15.75" customHeight="1">
      <c r="D468" s="11"/>
      <c r="E468" s="19"/>
    </row>
    <row r="469" ht="15.75" customHeight="1">
      <c r="D469" s="11"/>
      <c r="E469" s="19"/>
    </row>
    <row r="470" ht="15.75" customHeight="1">
      <c r="D470" s="11"/>
      <c r="E470" s="19"/>
    </row>
    <row r="471" ht="15.75" customHeight="1">
      <c r="D471" s="11"/>
      <c r="E471" s="19"/>
    </row>
    <row r="472" ht="15.75" customHeight="1">
      <c r="D472" s="11"/>
      <c r="E472" s="19"/>
    </row>
    <row r="473" ht="15.75" customHeight="1">
      <c r="D473" s="11"/>
      <c r="E473" s="19"/>
    </row>
    <row r="474" ht="15.75" customHeight="1">
      <c r="D474" s="11"/>
      <c r="E474" s="19"/>
    </row>
    <row r="475" ht="15.75" customHeight="1">
      <c r="D475" s="11"/>
      <c r="E475" s="19"/>
    </row>
    <row r="476" ht="15.75" customHeight="1">
      <c r="D476" s="11"/>
      <c r="E476" s="19"/>
    </row>
    <row r="477" ht="15.75" customHeight="1">
      <c r="D477" s="11"/>
      <c r="E477" s="19"/>
    </row>
    <row r="478" ht="15.75" customHeight="1">
      <c r="D478" s="11"/>
      <c r="E478" s="19"/>
    </row>
    <row r="479" ht="15.75" customHeight="1">
      <c r="D479" s="11"/>
      <c r="E479" s="19"/>
    </row>
    <row r="480" ht="15.75" customHeight="1">
      <c r="D480" s="11"/>
      <c r="E480" s="19"/>
    </row>
    <row r="481" ht="15.75" customHeight="1">
      <c r="D481" s="11"/>
      <c r="E481" s="19"/>
    </row>
    <row r="482" ht="15.75" customHeight="1">
      <c r="D482" s="11"/>
      <c r="E482" s="19"/>
    </row>
    <row r="483" ht="15.75" customHeight="1">
      <c r="D483" s="11"/>
      <c r="E483" s="19"/>
    </row>
    <row r="484" ht="15.75" customHeight="1">
      <c r="D484" s="11"/>
      <c r="E484" s="19"/>
    </row>
    <row r="485" ht="15.75" customHeight="1">
      <c r="D485" s="11"/>
      <c r="E485" s="19"/>
    </row>
    <row r="486" ht="15.75" customHeight="1">
      <c r="D486" s="11"/>
      <c r="E486" s="19"/>
    </row>
    <row r="487" ht="15.75" customHeight="1">
      <c r="D487" s="11"/>
      <c r="E487" s="19"/>
    </row>
    <row r="488" ht="15.75" customHeight="1">
      <c r="D488" s="11"/>
      <c r="E488" s="19"/>
    </row>
    <row r="489" ht="15.75" customHeight="1">
      <c r="D489" s="11"/>
      <c r="E489" s="19"/>
    </row>
    <row r="490" ht="15.75" customHeight="1">
      <c r="D490" s="11"/>
      <c r="E490" s="19"/>
    </row>
    <row r="491" ht="15.75" customHeight="1">
      <c r="D491" s="11"/>
      <c r="E491" s="19"/>
    </row>
    <row r="492" ht="15.75" customHeight="1">
      <c r="D492" s="11"/>
      <c r="E492" s="19"/>
    </row>
    <row r="493" ht="15.75" customHeight="1">
      <c r="D493" s="11"/>
      <c r="E493" s="19"/>
    </row>
    <row r="494" ht="15.75" customHeight="1">
      <c r="D494" s="11"/>
      <c r="E494" s="19"/>
    </row>
    <row r="495" ht="15.75" customHeight="1">
      <c r="D495" s="11"/>
      <c r="E495" s="19"/>
    </row>
    <row r="496" ht="15.75" customHeight="1">
      <c r="D496" s="11"/>
      <c r="E496" s="19"/>
    </row>
    <row r="497" ht="15.75" customHeight="1">
      <c r="D497" s="11"/>
      <c r="E497" s="19"/>
    </row>
    <row r="498" ht="15.75" customHeight="1">
      <c r="D498" s="11"/>
      <c r="E498" s="19"/>
    </row>
    <row r="499" ht="15.75" customHeight="1">
      <c r="D499" s="11"/>
      <c r="E499" s="19"/>
    </row>
    <row r="500" ht="15.75" customHeight="1">
      <c r="D500" s="11"/>
      <c r="E500" s="19"/>
    </row>
    <row r="501" ht="15.75" customHeight="1">
      <c r="D501" s="11"/>
      <c r="E501" s="19"/>
    </row>
    <row r="502" ht="15.75" customHeight="1">
      <c r="D502" s="11"/>
      <c r="E502" s="19"/>
    </row>
    <row r="503" ht="15.75" customHeight="1">
      <c r="D503" s="11"/>
      <c r="E503" s="19"/>
    </row>
    <row r="504" ht="15.75" customHeight="1">
      <c r="D504" s="11"/>
      <c r="E504" s="19"/>
    </row>
    <row r="505" ht="15.75" customHeight="1">
      <c r="D505" s="11"/>
      <c r="E505" s="19"/>
    </row>
    <row r="506" ht="15.75" customHeight="1">
      <c r="D506" s="11"/>
      <c r="E506" s="19"/>
    </row>
    <row r="507" ht="15.75" customHeight="1">
      <c r="D507" s="11"/>
      <c r="E507" s="19"/>
    </row>
    <row r="508" ht="15.75" customHeight="1">
      <c r="D508" s="11"/>
      <c r="E508" s="19"/>
    </row>
    <row r="509" ht="15.75" customHeight="1">
      <c r="D509" s="11"/>
      <c r="E509" s="19"/>
    </row>
    <row r="510" ht="15.75" customHeight="1">
      <c r="D510" s="11"/>
      <c r="E510" s="19"/>
    </row>
    <row r="511" ht="15.75" customHeight="1">
      <c r="D511" s="11"/>
      <c r="E511" s="19"/>
    </row>
    <row r="512" ht="15.75" customHeight="1">
      <c r="D512" s="11"/>
      <c r="E512" s="19"/>
    </row>
    <row r="513" ht="15.75" customHeight="1">
      <c r="D513" s="11"/>
      <c r="E513" s="19"/>
    </row>
    <row r="514" ht="15.75" customHeight="1">
      <c r="D514" s="11"/>
      <c r="E514" s="19"/>
    </row>
    <row r="515" ht="15.75" customHeight="1">
      <c r="D515" s="11"/>
      <c r="E515" s="19"/>
    </row>
    <row r="516" ht="15.75" customHeight="1">
      <c r="D516" s="11"/>
      <c r="E516" s="19"/>
    </row>
    <row r="517" ht="15.75" customHeight="1">
      <c r="D517" s="11"/>
      <c r="E517" s="19"/>
    </row>
    <row r="518" ht="15.75" customHeight="1">
      <c r="D518" s="11"/>
      <c r="E518" s="19"/>
    </row>
    <row r="519" ht="15.75" customHeight="1">
      <c r="D519" s="11"/>
      <c r="E519" s="19"/>
    </row>
    <row r="520" ht="15.75" customHeight="1">
      <c r="D520" s="11"/>
      <c r="E520" s="19"/>
    </row>
    <row r="521" ht="15.75" customHeight="1">
      <c r="D521" s="11"/>
      <c r="E521" s="19"/>
    </row>
    <row r="522" ht="15.75" customHeight="1">
      <c r="D522" s="11"/>
      <c r="E522" s="19"/>
    </row>
    <row r="523" ht="15.75" customHeight="1">
      <c r="D523" s="11"/>
      <c r="E523" s="19"/>
    </row>
    <row r="524" ht="15.75" customHeight="1">
      <c r="D524" s="11"/>
      <c r="E524" s="19"/>
    </row>
    <row r="525" ht="15.75" customHeight="1">
      <c r="D525" s="11"/>
      <c r="E525" s="19"/>
    </row>
    <row r="526" ht="15.75" customHeight="1">
      <c r="D526" s="11"/>
      <c r="E526" s="19"/>
    </row>
    <row r="527" ht="15.75" customHeight="1">
      <c r="D527" s="11"/>
      <c r="E527" s="19"/>
    </row>
    <row r="528" ht="15.75" customHeight="1">
      <c r="D528" s="11"/>
      <c r="E528" s="19"/>
    </row>
    <row r="529" ht="15.75" customHeight="1">
      <c r="D529" s="11"/>
      <c r="E529" s="19"/>
    </row>
    <row r="530" ht="15.75" customHeight="1">
      <c r="D530" s="11"/>
      <c r="E530" s="19"/>
    </row>
    <row r="531" ht="15.75" customHeight="1">
      <c r="D531" s="11"/>
      <c r="E531" s="19"/>
    </row>
    <row r="532" ht="15.75" customHeight="1">
      <c r="D532" s="11"/>
      <c r="E532" s="19"/>
    </row>
    <row r="533" ht="15.75" customHeight="1">
      <c r="D533" s="11"/>
      <c r="E533" s="19"/>
    </row>
    <row r="534" ht="15.75" customHeight="1">
      <c r="D534" s="11"/>
      <c r="E534" s="19"/>
    </row>
    <row r="535" ht="15.75" customHeight="1">
      <c r="D535" s="11"/>
      <c r="E535" s="19"/>
    </row>
    <row r="536" ht="15.75" customHeight="1">
      <c r="D536" s="11"/>
      <c r="E536" s="19"/>
    </row>
    <row r="537" ht="15.75" customHeight="1">
      <c r="D537" s="11"/>
      <c r="E537" s="19"/>
    </row>
    <row r="538" ht="15.75" customHeight="1">
      <c r="D538" s="11"/>
      <c r="E538" s="19"/>
    </row>
    <row r="539" ht="15.75" customHeight="1">
      <c r="D539" s="11"/>
      <c r="E539" s="19"/>
    </row>
    <row r="540" ht="15.75" customHeight="1">
      <c r="D540" s="11"/>
      <c r="E540" s="19"/>
    </row>
    <row r="541" ht="15.75" customHeight="1">
      <c r="D541" s="11"/>
      <c r="E541" s="19"/>
    </row>
    <row r="542" ht="15.75" customHeight="1">
      <c r="D542" s="11"/>
      <c r="E542" s="19"/>
    </row>
    <row r="543" ht="15.75" customHeight="1">
      <c r="D543" s="11"/>
      <c r="E543" s="19"/>
    </row>
    <row r="544" ht="15.75" customHeight="1">
      <c r="D544" s="11"/>
      <c r="E544" s="19"/>
    </row>
    <row r="545" ht="15.75" customHeight="1">
      <c r="D545" s="11"/>
      <c r="E545" s="19"/>
    </row>
    <row r="546" ht="15.75" customHeight="1">
      <c r="D546" s="11"/>
      <c r="E546" s="19"/>
    </row>
    <row r="547" ht="15.75" customHeight="1">
      <c r="D547" s="11"/>
      <c r="E547" s="19"/>
    </row>
    <row r="548" ht="15.75" customHeight="1">
      <c r="D548" s="11"/>
      <c r="E548" s="19"/>
    </row>
    <row r="549" ht="15.75" customHeight="1">
      <c r="D549" s="11"/>
      <c r="E549" s="19"/>
    </row>
    <row r="550" ht="15.75" customHeight="1">
      <c r="D550" s="11"/>
      <c r="E550" s="19"/>
    </row>
    <row r="551" ht="15.75" customHeight="1">
      <c r="D551" s="11"/>
      <c r="E551" s="19"/>
    </row>
    <row r="552" ht="15.75" customHeight="1">
      <c r="D552" s="11"/>
      <c r="E552" s="19"/>
    </row>
    <row r="553" ht="15.75" customHeight="1">
      <c r="D553" s="11"/>
      <c r="E553" s="19"/>
    </row>
    <row r="554" ht="15.75" customHeight="1">
      <c r="D554" s="11"/>
      <c r="E554" s="19"/>
    </row>
    <row r="555" ht="15.75" customHeight="1">
      <c r="D555" s="11"/>
      <c r="E555" s="19"/>
    </row>
    <row r="556" ht="15.75" customHeight="1">
      <c r="D556" s="11"/>
      <c r="E556" s="19"/>
    </row>
    <row r="557" ht="15.75" customHeight="1">
      <c r="D557" s="11"/>
      <c r="E557" s="19"/>
    </row>
    <row r="558" ht="15.75" customHeight="1">
      <c r="D558" s="11"/>
      <c r="E558" s="19"/>
    </row>
    <row r="559" ht="15.75" customHeight="1">
      <c r="D559" s="11"/>
      <c r="E559" s="19"/>
    </row>
    <row r="560" ht="15.75" customHeight="1">
      <c r="D560" s="11"/>
      <c r="E560" s="19"/>
    </row>
    <row r="561" ht="15.75" customHeight="1">
      <c r="D561" s="11"/>
      <c r="E561" s="19"/>
    </row>
    <row r="562" ht="15.75" customHeight="1">
      <c r="D562" s="11"/>
      <c r="E562" s="19"/>
    </row>
    <row r="563" ht="15.75" customHeight="1">
      <c r="D563" s="11"/>
      <c r="E563" s="19"/>
    </row>
    <row r="564" ht="15.75" customHeight="1">
      <c r="D564" s="11"/>
      <c r="E564" s="19"/>
    </row>
    <row r="565" ht="15.75" customHeight="1">
      <c r="D565" s="11"/>
      <c r="E565" s="19"/>
    </row>
    <row r="566" ht="15.75" customHeight="1">
      <c r="D566" s="11"/>
      <c r="E566" s="19"/>
    </row>
    <row r="567" ht="15.75" customHeight="1">
      <c r="D567" s="11"/>
      <c r="E567" s="19"/>
    </row>
    <row r="568" ht="15.75" customHeight="1">
      <c r="D568" s="11"/>
      <c r="E568" s="19"/>
    </row>
    <row r="569" ht="15.75" customHeight="1">
      <c r="D569" s="11"/>
      <c r="E569" s="19"/>
    </row>
    <row r="570" ht="15.75" customHeight="1">
      <c r="D570" s="11"/>
      <c r="E570" s="19"/>
    </row>
    <row r="571" ht="15.75" customHeight="1">
      <c r="D571" s="11"/>
      <c r="E571" s="19"/>
    </row>
    <row r="572" ht="15.75" customHeight="1">
      <c r="D572" s="11"/>
      <c r="E572" s="19"/>
    </row>
    <row r="573" ht="15.75" customHeight="1">
      <c r="D573" s="11"/>
      <c r="E573" s="19"/>
    </row>
    <row r="574" ht="15.75" customHeight="1">
      <c r="D574" s="11"/>
      <c r="E574" s="19"/>
    </row>
    <row r="575" ht="15.75" customHeight="1">
      <c r="D575" s="11"/>
      <c r="E575" s="19"/>
    </row>
    <row r="576" ht="15.75" customHeight="1">
      <c r="D576" s="11"/>
      <c r="E576" s="19"/>
    </row>
    <row r="577" ht="15.75" customHeight="1">
      <c r="D577" s="11"/>
      <c r="E577" s="19"/>
    </row>
    <row r="578" ht="15.75" customHeight="1">
      <c r="D578" s="11"/>
      <c r="E578" s="19"/>
    </row>
    <row r="579" ht="15.75" customHeight="1">
      <c r="D579" s="11"/>
      <c r="E579" s="19"/>
    </row>
    <row r="580" ht="15.75" customHeight="1">
      <c r="D580" s="11"/>
      <c r="E580" s="19"/>
    </row>
    <row r="581" ht="15.75" customHeight="1">
      <c r="D581" s="11"/>
      <c r="E581" s="19"/>
    </row>
    <row r="582" ht="15.75" customHeight="1">
      <c r="D582" s="11"/>
      <c r="E582" s="19"/>
    </row>
    <row r="583" ht="15.75" customHeight="1">
      <c r="D583" s="11"/>
      <c r="E583" s="19"/>
    </row>
    <row r="584" ht="15.75" customHeight="1">
      <c r="D584" s="11"/>
      <c r="E584" s="19"/>
    </row>
    <row r="585" ht="15.75" customHeight="1">
      <c r="D585" s="11"/>
      <c r="E585" s="19"/>
    </row>
    <row r="586" ht="15.75" customHeight="1">
      <c r="D586" s="11"/>
      <c r="E586" s="19"/>
    </row>
    <row r="587" ht="15.75" customHeight="1">
      <c r="D587" s="11"/>
      <c r="E587" s="19"/>
    </row>
    <row r="588" ht="15.75" customHeight="1">
      <c r="D588" s="11"/>
      <c r="E588" s="19"/>
    </row>
    <row r="589" ht="15.75" customHeight="1">
      <c r="D589" s="11"/>
      <c r="E589" s="19"/>
    </row>
    <row r="590" ht="15.75" customHeight="1">
      <c r="D590" s="11"/>
      <c r="E590" s="19"/>
    </row>
    <row r="591" ht="15.75" customHeight="1">
      <c r="D591" s="11"/>
      <c r="E591" s="19"/>
    </row>
    <row r="592" ht="15.75" customHeight="1">
      <c r="D592" s="11"/>
      <c r="E592" s="19"/>
    </row>
    <row r="593" ht="15.75" customHeight="1">
      <c r="D593" s="11"/>
      <c r="E593" s="19"/>
    </row>
    <row r="594" ht="15.75" customHeight="1">
      <c r="D594" s="11"/>
      <c r="E594" s="19"/>
    </row>
    <row r="595" ht="15.75" customHeight="1">
      <c r="D595" s="11"/>
      <c r="E595" s="19"/>
    </row>
    <row r="596" ht="15.75" customHeight="1">
      <c r="D596" s="11"/>
      <c r="E596" s="19"/>
    </row>
    <row r="597" ht="15.75" customHeight="1">
      <c r="D597" s="11"/>
      <c r="E597" s="19"/>
    </row>
    <row r="598" ht="15.75" customHeight="1">
      <c r="D598" s="11"/>
      <c r="E598" s="19"/>
    </row>
    <row r="599" ht="15.75" customHeight="1">
      <c r="D599" s="11"/>
      <c r="E599" s="19"/>
    </row>
    <row r="600" ht="15.75" customHeight="1">
      <c r="D600" s="11"/>
      <c r="E600" s="19"/>
    </row>
    <row r="601" ht="15.75" customHeight="1">
      <c r="D601" s="11"/>
      <c r="E601" s="19"/>
    </row>
    <row r="602" ht="15.75" customHeight="1">
      <c r="D602" s="11"/>
      <c r="E602" s="19"/>
    </row>
    <row r="603" ht="15.75" customHeight="1">
      <c r="D603" s="11"/>
      <c r="E603" s="19"/>
    </row>
    <row r="604" ht="15.75" customHeight="1">
      <c r="D604" s="11"/>
      <c r="E604" s="19"/>
    </row>
    <row r="605" ht="15.75" customHeight="1">
      <c r="D605" s="11"/>
      <c r="E605" s="19"/>
    </row>
    <row r="606" ht="15.75" customHeight="1">
      <c r="D606" s="11"/>
      <c r="E606" s="19"/>
    </row>
    <row r="607" ht="15.75" customHeight="1">
      <c r="D607" s="11"/>
      <c r="E607" s="19"/>
    </row>
    <row r="608" ht="15.75" customHeight="1">
      <c r="D608" s="11"/>
      <c r="E608" s="19"/>
    </row>
    <row r="609" ht="15.75" customHeight="1">
      <c r="D609" s="11"/>
      <c r="E609" s="19"/>
    </row>
    <row r="610" ht="15.75" customHeight="1">
      <c r="D610" s="11"/>
      <c r="E610" s="19"/>
    </row>
    <row r="611" ht="15.75" customHeight="1">
      <c r="D611" s="11"/>
      <c r="E611" s="19"/>
    </row>
    <row r="612" ht="15.75" customHeight="1">
      <c r="D612" s="11"/>
      <c r="E612" s="19"/>
    </row>
    <row r="613" ht="15.75" customHeight="1">
      <c r="D613" s="11"/>
      <c r="E613" s="19"/>
    </row>
    <row r="614" ht="15.75" customHeight="1">
      <c r="D614" s="11"/>
      <c r="E614" s="19"/>
    </row>
    <row r="615" ht="15.75" customHeight="1">
      <c r="D615" s="11"/>
      <c r="E615" s="19"/>
    </row>
    <row r="616" ht="15.75" customHeight="1">
      <c r="D616" s="11"/>
      <c r="E616" s="19"/>
    </row>
    <row r="617" ht="15.75" customHeight="1">
      <c r="D617" s="11"/>
      <c r="E617" s="19"/>
    </row>
    <row r="618" ht="15.75" customHeight="1">
      <c r="D618" s="11"/>
      <c r="E618" s="19"/>
    </row>
    <row r="619" ht="15.75" customHeight="1">
      <c r="D619" s="11"/>
      <c r="E619" s="19"/>
    </row>
    <row r="620" ht="15.75" customHeight="1">
      <c r="D620" s="11"/>
      <c r="E620" s="19"/>
    </row>
    <row r="621" ht="15.75" customHeight="1">
      <c r="D621" s="11"/>
      <c r="E621" s="19"/>
    </row>
    <row r="622" ht="15.75" customHeight="1">
      <c r="D622" s="11"/>
      <c r="E622" s="19"/>
    </row>
    <row r="623" ht="15.75" customHeight="1">
      <c r="D623" s="11"/>
      <c r="E623" s="19"/>
    </row>
    <row r="624" ht="15.75" customHeight="1">
      <c r="D624" s="11"/>
      <c r="E624" s="19"/>
    </row>
    <row r="625" ht="15.75" customHeight="1">
      <c r="D625" s="11"/>
      <c r="E625" s="19"/>
    </row>
    <row r="626" ht="15.75" customHeight="1">
      <c r="D626" s="11"/>
      <c r="E626" s="19"/>
    </row>
    <row r="627" ht="15.75" customHeight="1">
      <c r="D627" s="11"/>
      <c r="E627" s="19"/>
    </row>
    <row r="628" ht="15.75" customHeight="1">
      <c r="D628" s="11"/>
      <c r="E628" s="19"/>
    </row>
    <row r="629" ht="15.75" customHeight="1">
      <c r="D629" s="11"/>
      <c r="E629" s="19"/>
    </row>
    <row r="630" ht="15.75" customHeight="1">
      <c r="D630" s="11"/>
      <c r="E630" s="19"/>
    </row>
    <row r="631" ht="15.75" customHeight="1">
      <c r="D631" s="11"/>
      <c r="E631" s="19"/>
    </row>
    <row r="632" ht="15.75" customHeight="1">
      <c r="D632" s="11"/>
      <c r="E632" s="19"/>
    </row>
    <row r="633" ht="15.75" customHeight="1">
      <c r="D633" s="11"/>
      <c r="E633" s="19"/>
    </row>
    <row r="634" ht="15.75" customHeight="1">
      <c r="D634" s="11"/>
      <c r="E634" s="19"/>
    </row>
    <row r="635" ht="15.75" customHeight="1">
      <c r="D635" s="11"/>
      <c r="E635" s="19"/>
    </row>
    <row r="636" ht="15.75" customHeight="1">
      <c r="D636" s="11"/>
      <c r="E636" s="19"/>
    </row>
    <row r="637" ht="15.75" customHeight="1">
      <c r="D637" s="11"/>
      <c r="E637" s="19"/>
    </row>
    <row r="638" ht="15.75" customHeight="1">
      <c r="D638" s="11"/>
      <c r="E638" s="19"/>
    </row>
    <row r="639" ht="15.75" customHeight="1">
      <c r="D639" s="11"/>
      <c r="E639" s="19"/>
    </row>
    <row r="640" ht="15.75" customHeight="1">
      <c r="D640" s="11"/>
      <c r="E640" s="19"/>
    </row>
    <row r="641" ht="15.75" customHeight="1">
      <c r="D641" s="11"/>
      <c r="E641" s="19"/>
    </row>
    <row r="642" ht="15.75" customHeight="1">
      <c r="D642" s="11"/>
      <c r="E642" s="19"/>
    </row>
    <row r="643" ht="15.75" customHeight="1">
      <c r="D643" s="11"/>
      <c r="E643" s="19"/>
    </row>
    <row r="644" ht="15.75" customHeight="1">
      <c r="D644" s="11"/>
      <c r="E644" s="19"/>
    </row>
    <row r="645" ht="15.75" customHeight="1">
      <c r="D645" s="11"/>
      <c r="E645" s="19"/>
    </row>
    <row r="646" ht="15.75" customHeight="1">
      <c r="D646" s="11"/>
      <c r="E646" s="19"/>
    </row>
    <row r="647" ht="15.75" customHeight="1">
      <c r="D647" s="11"/>
      <c r="E647" s="19"/>
    </row>
    <row r="648" ht="15.75" customHeight="1">
      <c r="D648" s="11"/>
      <c r="E648" s="19"/>
    </row>
    <row r="649" ht="15.75" customHeight="1">
      <c r="D649" s="11"/>
      <c r="E649" s="19"/>
    </row>
    <row r="650" ht="15.75" customHeight="1">
      <c r="D650" s="11"/>
      <c r="E650" s="19"/>
    </row>
    <row r="651" ht="15.75" customHeight="1">
      <c r="D651" s="11"/>
      <c r="E651" s="19"/>
    </row>
    <row r="652" ht="15.75" customHeight="1">
      <c r="D652" s="11"/>
      <c r="E652" s="19"/>
    </row>
    <row r="653" ht="15.75" customHeight="1">
      <c r="D653" s="11"/>
      <c r="E653" s="19"/>
    </row>
    <row r="654" ht="15.75" customHeight="1">
      <c r="D654" s="11"/>
      <c r="E654" s="19"/>
    </row>
    <row r="655" ht="15.75" customHeight="1">
      <c r="D655" s="11"/>
      <c r="E655" s="19"/>
    </row>
    <row r="656" ht="15.75" customHeight="1">
      <c r="D656" s="11"/>
      <c r="E656" s="19"/>
    </row>
    <row r="657" ht="15.75" customHeight="1">
      <c r="D657" s="11"/>
      <c r="E657" s="19"/>
    </row>
    <row r="658" ht="15.75" customHeight="1">
      <c r="D658" s="11"/>
      <c r="E658" s="19"/>
    </row>
    <row r="659" ht="15.75" customHeight="1">
      <c r="D659" s="11"/>
      <c r="E659" s="19"/>
    </row>
    <row r="660" ht="15.75" customHeight="1">
      <c r="D660" s="11"/>
      <c r="E660" s="19"/>
    </row>
    <row r="661" ht="15.75" customHeight="1">
      <c r="D661" s="11"/>
      <c r="E661" s="19"/>
    </row>
    <row r="662" ht="15.75" customHeight="1">
      <c r="D662" s="11"/>
      <c r="E662" s="19"/>
    </row>
    <row r="663" ht="15.75" customHeight="1">
      <c r="D663" s="11"/>
      <c r="E663" s="19"/>
    </row>
    <row r="664" ht="15.75" customHeight="1">
      <c r="D664" s="11"/>
      <c r="E664" s="19"/>
    </row>
    <row r="665" ht="15.75" customHeight="1">
      <c r="D665" s="11"/>
      <c r="E665" s="19"/>
    </row>
    <row r="666" ht="15.75" customHeight="1">
      <c r="D666" s="11"/>
      <c r="E666" s="19"/>
    </row>
    <row r="667" ht="15.75" customHeight="1">
      <c r="D667" s="11"/>
      <c r="E667" s="19"/>
    </row>
    <row r="668" ht="15.75" customHeight="1">
      <c r="D668" s="11"/>
      <c r="E668" s="19"/>
    </row>
    <row r="669" ht="15.75" customHeight="1">
      <c r="D669" s="11"/>
      <c r="E669" s="19"/>
    </row>
    <row r="670" ht="15.75" customHeight="1">
      <c r="D670" s="11"/>
      <c r="E670" s="19"/>
    </row>
    <row r="671" ht="15.75" customHeight="1">
      <c r="D671" s="11"/>
      <c r="E671" s="19"/>
    </row>
    <row r="672" ht="15.75" customHeight="1">
      <c r="D672" s="11"/>
      <c r="E672" s="19"/>
    </row>
    <row r="673" ht="15.75" customHeight="1">
      <c r="D673" s="11"/>
      <c r="E673" s="19"/>
    </row>
    <row r="674" ht="15.75" customHeight="1">
      <c r="D674" s="11"/>
      <c r="E674" s="19"/>
    </row>
    <row r="675" ht="15.75" customHeight="1">
      <c r="D675" s="11"/>
      <c r="E675" s="19"/>
    </row>
    <row r="676" ht="15.75" customHeight="1">
      <c r="D676" s="11"/>
      <c r="E676" s="19"/>
    </row>
    <row r="677" ht="15.75" customHeight="1">
      <c r="D677" s="11"/>
      <c r="E677" s="19"/>
    </row>
    <row r="678" ht="15.75" customHeight="1">
      <c r="D678" s="11"/>
      <c r="E678" s="19"/>
    </row>
    <row r="679" ht="15.75" customHeight="1">
      <c r="D679" s="11"/>
      <c r="E679" s="19"/>
    </row>
    <row r="680" ht="15.75" customHeight="1">
      <c r="D680" s="11"/>
      <c r="E680" s="19"/>
    </row>
    <row r="681" ht="15.75" customHeight="1">
      <c r="D681" s="11"/>
      <c r="E681" s="19"/>
    </row>
    <row r="682" ht="15.75" customHeight="1">
      <c r="D682" s="11"/>
      <c r="E682" s="19"/>
    </row>
    <row r="683" ht="15.75" customHeight="1">
      <c r="D683" s="11"/>
      <c r="E683" s="19"/>
    </row>
    <row r="684" ht="15.75" customHeight="1">
      <c r="D684" s="11"/>
      <c r="E684" s="19"/>
    </row>
    <row r="685" ht="15.75" customHeight="1">
      <c r="D685" s="11"/>
      <c r="E685" s="19"/>
    </row>
    <row r="686" ht="15.75" customHeight="1">
      <c r="D686" s="11"/>
      <c r="E686" s="19"/>
    </row>
    <row r="687" ht="15.75" customHeight="1">
      <c r="D687" s="11"/>
      <c r="E687" s="19"/>
    </row>
    <row r="688" ht="15.75" customHeight="1">
      <c r="D688" s="11"/>
      <c r="E688" s="19"/>
    </row>
    <row r="689" ht="15.75" customHeight="1">
      <c r="D689" s="11"/>
      <c r="E689" s="19"/>
    </row>
    <row r="690" ht="15.75" customHeight="1">
      <c r="D690" s="11"/>
      <c r="E690" s="19"/>
    </row>
    <row r="691" ht="15.75" customHeight="1">
      <c r="D691" s="11"/>
      <c r="E691" s="19"/>
    </row>
    <row r="692" ht="15.75" customHeight="1">
      <c r="D692" s="11"/>
      <c r="E692" s="19"/>
    </row>
    <row r="693" ht="15.75" customHeight="1">
      <c r="D693" s="11"/>
      <c r="E693" s="19"/>
    </row>
    <row r="694" ht="15.75" customHeight="1">
      <c r="D694" s="11"/>
      <c r="E694" s="19"/>
    </row>
    <row r="695" ht="15.75" customHeight="1">
      <c r="D695" s="11"/>
      <c r="E695" s="19"/>
    </row>
    <row r="696" ht="15.75" customHeight="1">
      <c r="D696" s="11"/>
      <c r="E696" s="19"/>
    </row>
    <row r="697" ht="15.75" customHeight="1">
      <c r="D697" s="11"/>
      <c r="E697" s="19"/>
    </row>
    <row r="698" ht="15.75" customHeight="1">
      <c r="D698" s="11"/>
      <c r="E698" s="19"/>
    </row>
    <row r="699" ht="15.75" customHeight="1">
      <c r="D699" s="11"/>
      <c r="E699" s="19"/>
    </row>
    <row r="700" ht="15.75" customHeight="1">
      <c r="D700" s="11"/>
      <c r="E700" s="19"/>
    </row>
    <row r="701" ht="15.75" customHeight="1">
      <c r="D701" s="11"/>
      <c r="E701" s="19"/>
    </row>
    <row r="702" ht="15.75" customHeight="1">
      <c r="D702" s="11"/>
      <c r="E702" s="19"/>
    </row>
    <row r="703" ht="15.75" customHeight="1">
      <c r="D703" s="11"/>
      <c r="E703" s="19"/>
    </row>
    <row r="704" ht="15.75" customHeight="1">
      <c r="D704" s="11"/>
      <c r="E704" s="19"/>
    </row>
    <row r="705" ht="15.75" customHeight="1">
      <c r="D705" s="11"/>
      <c r="E705" s="19"/>
    </row>
    <row r="706" ht="15.75" customHeight="1">
      <c r="D706" s="11"/>
      <c r="E706" s="19"/>
    </row>
    <row r="707" ht="15.75" customHeight="1">
      <c r="D707" s="11"/>
      <c r="E707" s="19"/>
    </row>
    <row r="708" ht="15.75" customHeight="1">
      <c r="D708" s="11"/>
      <c r="E708" s="19"/>
    </row>
    <row r="709" ht="15.75" customHeight="1">
      <c r="D709" s="11"/>
      <c r="E709" s="19"/>
    </row>
    <row r="710" ht="15.75" customHeight="1">
      <c r="D710" s="11"/>
      <c r="E710" s="19"/>
    </row>
    <row r="711" ht="15.75" customHeight="1">
      <c r="D711" s="11"/>
      <c r="E711" s="19"/>
    </row>
    <row r="712" ht="15.75" customHeight="1">
      <c r="D712" s="11"/>
      <c r="E712" s="19"/>
    </row>
    <row r="713" ht="15.75" customHeight="1">
      <c r="D713" s="11"/>
      <c r="E713" s="19"/>
    </row>
    <row r="714" ht="15.75" customHeight="1">
      <c r="D714" s="11"/>
      <c r="E714" s="19"/>
    </row>
    <row r="715" ht="15.75" customHeight="1">
      <c r="D715" s="11"/>
      <c r="E715" s="19"/>
    </row>
    <row r="716" ht="15.75" customHeight="1">
      <c r="D716" s="11"/>
      <c r="E716" s="19"/>
    </row>
    <row r="717" ht="15.75" customHeight="1">
      <c r="D717" s="11"/>
      <c r="E717" s="19"/>
    </row>
    <row r="718" ht="15.75" customHeight="1">
      <c r="D718" s="11"/>
      <c r="E718" s="19"/>
    </row>
    <row r="719" ht="15.75" customHeight="1">
      <c r="D719" s="11"/>
      <c r="E719" s="19"/>
    </row>
    <row r="720" ht="15.75" customHeight="1">
      <c r="D720" s="11"/>
      <c r="E720" s="19"/>
    </row>
    <row r="721" ht="15.75" customHeight="1">
      <c r="D721" s="11"/>
      <c r="E721" s="19"/>
    </row>
    <row r="722" ht="15.75" customHeight="1">
      <c r="D722" s="11"/>
      <c r="E722" s="19"/>
    </row>
    <row r="723" ht="15.75" customHeight="1">
      <c r="D723" s="11"/>
      <c r="E723" s="19"/>
    </row>
    <row r="724" ht="15.75" customHeight="1">
      <c r="D724" s="11"/>
      <c r="E724" s="19"/>
    </row>
    <row r="725" ht="15.75" customHeight="1">
      <c r="D725" s="11"/>
      <c r="E725" s="19"/>
    </row>
    <row r="726" ht="15.75" customHeight="1">
      <c r="D726" s="11"/>
      <c r="E726" s="19"/>
    </row>
    <row r="727" ht="15.75" customHeight="1">
      <c r="D727" s="11"/>
      <c r="E727" s="19"/>
    </row>
    <row r="728" ht="15.75" customHeight="1">
      <c r="D728" s="11"/>
      <c r="E728" s="19"/>
    </row>
    <row r="729" ht="15.75" customHeight="1">
      <c r="D729" s="11"/>
      <c r="E729" s="19"/>
    </row>
    <row r="730" ht="15.75" customHeight="1">
      <c r="D730" s="11"/>
      <c r="E730" s="19"/>
    </row>
    <row r="731" ht="15.75" customHeight="1">
      <c r="D731" s="11"/>
      <c r="E731" s="19"/>
    </row>
    <row r="732" ht="15.75" customHeight="1">
      <c r="D732" s="11"/>
      <c r="E732" s="19"/>
    </row>
    <row r="733" ht="15.75" customHeight="1">
      <c r="D733" s="11"/>
      <c r="E733" s="19"/>
    </row>
    <row r="734" ht="15.75" customHeight="1">
      <c r="D734" s="11"/>
      <c r="E734" s="19"/>
    </row>
    <row r="735" ht="15.75" customHeight="1">
      <c r="D735" s="11"/>
      <c r="E735" s="19"/>
    </row>
    <row r="736" ht="15.75" customHeight="1">
      <c r="D736" s="11"/>
      <c r="E736" s="19"/>
    </row>
    <row r="737" ht="15.75" customHeight="1">
      <c r="D737" s="11"/>
      <c r="E737" s="19"/>
    </row>
    <row r="738" ht="15.75" customHeight="1">
      <c r="D738" s="11"/>
      <c r="E738" s="19"/>
    </row>
    <row r="739" ht="15.75" customHeight="1">
      <c r="D739" s="11"/>
      <c r="E739" s="19"/>
    </row>
    <row r="740" ht="15.75" customHeight="1">
      <c r="D740" s="11"/>
      <c r="E740" s="19"/>
    </row>
    <row r="741" ht="15.75" customHeight="1">
      <c r="D741" s="11"/>
      <c r="E741" s="19"/>
    </row>
    <row r="742" ht="15.75" customHeight="1">
      <c r="D742" s="11"/>
      <c r="E742" s="19"/>
    </row>
    <row r="743" ht="15.75" customHeight="1">
      <c r="D743" s="11"/>
      <c r="E743" s="19"/>
    </row>
    <row r="744" ht="15.75" customHeight="1">
      <c r="D744" s="11"/>
      <c r="E744" s="19"/>
    </row>
    <row r="745" ht="15.75" customHeight="1">
      <c r="D745" s="11"/>
      <c r="E745" s="19"/>
    </row>
    <row r="746" ht="15.75" customHeight="1">
      <c r="D746" s="11"/>
      <c r="E746" s="19"/>
    </row>
    <row r="747" ht="15.75" customHeight="1">
      <c r="D747" s="11"/>
      <c r="E747" s="19"/>
    </row>
    <row r="748" ht="15.75" customHeight="1">
      <c r="D748" s="11"/>
      <c r="E748" s="19"/>
    </row>
    <row r="749" ht="15.75" customHeight="1">
      <c r="D749" s="11"/>
      <c r="E749" s="19"/>
    </row>
    <row r="750" ht="15.75" customHeight="1">
      <c r="D750" s="11"/>
      <c r="E750" s="19"/>
    </row>
    <row r="751" ht="15.75" customHeight="1">
      <c r="D751" s="11"/>
      <c r="E751" s="19"/>
    </row>
    <row r="752" ht="15.75" customHeight="1">
      <c r="D752" s="11"/>
      <c r="E752" s="19"/>
    </row>
    <row r="753" ht="15.75" customHeight="1">
      <c r="D753" s="11"/>
      <c r="E753" s="19"/>
    </row>
    <row r="754" ht="15.75" customHeight="1">
      <c r="D754" s="11"/>
      <c r="E754" s="19"/>
    </row>
    <row r="755" ht="15.75" customHeight="1">
      <c r="D755" s="11"/>
      <c r="E755" s="19"/>
    </row>
    <row r="756" ht="15.75" customHeight="1">
      <c r="D756" s="11"/>
      <c r="E756" s="19"/>
    </row>
    <row r="757" ht="15.75" customHeight="1">
      <c r="D757" s="11"/>
      <c r="E757" s="19"/>
    </row>
    <row r="758" ht="15.75" customHeight="1">
      <c r="D758" s="11"/>
      <c r="E758" s="19"/>
    </row>
    <row r="759" ht="15.75" customHeight="1">
      <c r="D759" s="11"/>
      <c r="E759" s="19"/>
    </row>
    <row r="760" ht="15.75" customHeight="1">
      <c r="D760" s="11"/>
      <c r="E760" s="19"/>
    </row>
    <row r="761" ht="15.75" customHeight="1">
      <c r="D761" s="11"/>
      <c r="E761" s="19"/>
    </row>
    <row r="762" ht="15.75" customHeight="1">
      <c r="D762" s="11"/>
      <c r="E762" s="19"/>
    </row>
    <row r="763" ht="15.75" customHeight="1">
      <c r="D763" s="11"/>
      <c r="E763" s="19"/>
    </row>
    <row r="764" ht="15.75" customHeight="1">
      <c r="D764" s="11"/>
      <c r="E764" s="19"/>
    </row>
    <row r="765" ht="15.75" customHeight="1">
      <c r="D765" s="11"/>
      <c r="E765" s="19"/>
    </row>
    <row r="766" ht="15.75" customHeight="1">
      <c r="D766" s="11"/>
      <c r="E766" s="19"/>
    </row>
    <row r="767" ht="15.75" customHeight="1">
      <c r="D767" s="11"/>
      <c r="E767" s="19"/>
    </row>
    <row r="768" ht="15.75" customHeight="1">
      <c r="D768" s="11"/>
      <c r="E768" s="19"/>
    </row>
    <row r="769" ht="15.75" customHeight="1">
      <c r="D769" s="11"/>
      <c r="E769" s="19"/>
    </row>
    <row r="770" ht="15.75" customHeight="1">
      <c r="D770" s="11"/>
      <c r="E770" s="19"/>
    </row>
    <row r="771" ht="15.75" customHeight="1">
      <c r="D771" s="11"/>
      <c r="E771" s="19"/>
    </row>
    <row r="772" ht="15.75" customHeight="1">
      <c r="D772" s="11"/>
      <c r="E772" s="19"/>
    </row>
    <row r="773" ht="15.75" customHeight="1">
      <c r="D773" s="11"/>
      <c r="E773" s="19"/>
    </row>
    <row r="774" ht="15.75" customHeight="1">
      <c r="D774" s="11"/>
      <c r="E774" s="19"/>
    </row>
    <row r="775" ht="15.75" customHeight="1">
      <c r="D775" s="11"/>
      <c r="E775" s="19"/>
    </row>
    <row r="776" ht="15.75" customHeight="1">
      <c r="D776" s="11"/>
      <c r="E776" s="19"/>
    </row>
    <row r="777" ht="15.75" customHeight="1">
      <c r="D777" s="11"/>
      <c r="E777" s="19"/>
    </row>
    <row r="778" ht="15.75" customHeight="1">
      <c r="D778" s="11"/>
      <c r="E778" s="19"/>
    </row>
    <row r="779" ht="15.75" customHeight="1">
      <c r="D779" s="11"/>
      <c r="E779" s="19"/>
    </row>
    <row r="780" ht="15.75" customHeight="1">
      <c r="D780" s="11"/>
      <c r="E780" s="19"/>
    </row>
    <row r="781" ht="15.75" customHeight="1">
      <c r="D781" s="11"/>
      <c r="E781" s="19"/>
    </row>
    <row r="782" ht="15.75" customHeight="1">
      <c r="D782" s="11"/>
      <c r="E782" s="19"/>
    </row>
    <row r="783" ht="15.75" customHeight="1">
      <c r="D783" s="11"/>
      <c r="E783" s="19"/>
    </row>
    <row r="784" ht="15.75" customHeight="1">
      <c r="D784" s="11"/>
      <c r="E784" s="19"/>
    </row>
    <row r="785" ht="15.75" customHeight="1">
      <c r="D785" s="11"/>
      <c r="E785" s="19"/>
    </row>
    <row r="786" ht="15.75" customHeight="1">
      <c r="D786" s="11"/>
      <c r="E786" s="19"/>
    </row>
    <row r="787" ht="15.75" customHeight="1">
      <c r="D787" s="11"/>
      <c r="E787" s="19"/>
    </row>
    <row r="788" ht="15.75" customHeight="1">
      <c r="D788" s="11"/>
      <c r="E788" s="19"/>
    </row>
    <row r="789" ht="15.75" customHeight="1">
      <c r="D789" s="11"/>
      <c r="E789" s="19"/>
    </row>
    <row r="790" ht="15.75" customHeight="1">
      <c r="D790" s="11"/>
      <c r="E790" s="19"/>
    </row>
    <row r="791" ht="15.75" customHeight="1">
      <c r="D791" s="11"/>
      <c r="E791" s="19"/>
    </row>
    <row r="792" ht="15.75" customHeight="1">
      <c r="D792" s="11"/>
      <c r="E792" s="19"/>
    </row>
    <row r="793" ht="15.75" customHeight="1">
      <c r="D793" s="11"/>
      <c r="E793" s="19"/>
    </row>
    <row r="794" ht="15.75" customHeight="1">
      <c r="D794" s="11"/>
      <c r="E794" s="19"/>
    </row>
    <row r="795" ht="15.75" customHeight="1">
      <c r="D795" s="11"/>
      <c r="E795" s="19"/>
    </row>
    <row r="796" ht="15.75" customHeight="1">
      <c r="D796" s="11"/>
      <c r="E796" s="19"/>
    </row>
    <row r="797" ht="15.75" customHeight="1">
      <c r="D797" s="11"/>
      <c r="E797" s="19"/>
    </row>
    <row r="798" ht="15.75" customHeight="1">
      <c r="D798" s="11"/>
      <c r="E798" s="19"/>
    </row>
    <row r="799" ht="15.75" customHeight="1">
      <c r="D799" s="11"/>
      <c r="E799" s="19"/>
    </row>
    <row r="800" ht="15.75" customHeight="1">
      <c r="D800" s="11"/>
      <c r="E800" s="19"/>
    </row>
    <row r="801" ht="15.75" customHeight="1">
      <c r="D801" s="11"/>
      <c r="E801" s="19"/>
    </row>
    <row r="802" ht="15.75" customHeight="1">
      <c r="D802" s="11"/>
      <c r="E802" s="19"/>
    </row>
    <row r="803" ht="15.75" customHeight="1">
      <c r="D803" s="11"/>
      <c r="E803" s="19"/>
    </row>
    <row r="804" ht="15.75" customHeight="1">
      <c r="D804" s="11"/>
      <c r="E804" s="19"/>
    </row>
    <row r="805" ht="15.75" customHeight="1">
      <c r="D805" s="11"/>
      <c r="E805" s="19"/>
    </row>
    <row r="806" ht="15.75" customHeight="1">
      <c r="D806" s="11"/>
      <c r="E806" s="19"/>
    </row>
    <row r="807" ht="15.75" customHeight="1">
      <c r="D807" s="11"/>
      <c r="E807" s="19"/>
    </row>
    <row r="808" ht="15.75" customHeight="1">
      <c r="D808" s="11"/>
      <c r="E808" s="19"/>
    </row>
    <row r="809" ht="15.75" customHeight="1">
      <c r="D809" s="11"/>
      <c r="E809" s="19"/>
    </row>
    <row r="810" ht="15.75" customHeight="1">
      <c r="D810" s="11"/>
      <c r="E810" s="19"/>
    </row>
    <row r="811" ht="15.75" customHeight="1">
      <c r="D811" s="11"/>
      <c r="E811" s="19"/>
    </row>
    <row r="812" ht="15.75" customHeight="1">
      <c r="D812" s="11"/>
      <c r="E812" s="19"/>
    </row>
    <row r="813" ht="15.75" customHeight="1">
      <c r="D813" s="11"/>
      <c r="E813" s="19"/>
    </row>
    <row r="814" ht="15.75" customHeight="1">
      <c r="D814" s="11"/>
      <c r="E814" s="19"/>
    </row>
    <row r="815" ht="15.75" customHeight="1">
      <c r="D815" s="11"/>
      <c r="E815" s="19"/>
    </row>
    <row r="816" ht="15.75" customHeight="1">
      <c r="D816" s="11"/>
      <c r="E816" s="19"/>
    </row>
    <row r="817" ht="15.75" customHeight="1">
      <c r="D817" s="11"/>
      <c r="E817" s="19"/>
    </row>
    <row r="818" ht="15.75" customHeight="1">
      <c r="D818" s="11"/>
      <c r="E818" s="19"/>
    </row>
    <row r="819" ht="15.75" customHeight="1">
      <c r="D819" s="11"/>
      <c r="E819" s="19"/>
    </row>
    <row r="820" ht="15.75" customHeight="1">
      <c r="D820" s="11"/>
      <c r="E820" s="19"/>
    </row>
    <row r="821" ht="15.75" customHeight="1">
      <c r="D821" s="11"/>
      <c r="E821" s="19"/>
    </row>
    <row r="822" ht="15.75" customHeight="1">
      <c r="D822" s="11"/>
      <c r="E822" s="19"/>
    </row>
    <row r="823" ht="15.75" customHeight="1">
      <c r="D823" s="11"/>
      <c r="E823" s="19"/>
    </row>
    <row r="824" ht="15.75" customHeight="1">
      <c r="D824" s="11"/>
      <c r="E824" s="19"/>
    </row>
    <row r="825" ht="15.75" customHeight="1">
      <c r="D825" s="11"/>
      <c r="E825" s="19"/>
    </row>
    <row r="826" ht="15.75" customHeight="1">
      <c r="D826" s="11"/>
      <c r="E826" s="19"/>
    </row>
    <row r="827" ht="15.75" customHeight="1">
      <c r="D827" s="11"/>
      <c r="E827" s="19"/>
    </row>
    <row r="828" ht="15.75" customHeight="1">
      <c r="D828" s="11"/>
      <c r="E828" s="19"/>
    </row>
    <row r="829" ht="15.75" customHeight="1">
      <c r="D829" s="11"/>
      <c r="E829" s="19"/>
    </row>
    <row r="830" ht="15.75" customHeight="1">
      <c r="D830" s="11"/>
      <c r="E830" s="19"/>
    </row>
    <row r="831" ht="15.75" customHeight="1">
      <c r="D831" s="11"/>
      <c r="E831" s="19"/>
    </row>
    <row r="832" ht="15.75" customHeight="1">
      <c r="D832" s="11"/>
      <c r="E832" s="19"/>
    </row>
    <row r="833" ht="15.75" customHeight="1">
      <c r="D833" s="11"/>
      <c r="E833" s="19"/>
    </row>
    <row r="834" ht="15.75" customHeight="1">
      <c r="D834" s="11"/>
      <c r="E834" s="19"/>
    </row>
    <row r="835" ht="15.75" customHeight="1">
      <c r="D835" s="11"/>
      <c r="E835" s="19"/>
    </row>
    <row r="836" ht="15.75" customHeight="1">
      <c r="D836" s="11"/>
      <c r="E836" s="19"/>
    </row>
    <row r="837" ht="15.75" customHeight="1">
      <c r="D837" s="11"/>
      <c r="E837" s="19"/>
    </row>
    <row r="838" ht="15.75" customHeight="1">
      <c r="D838" s="11"/>
      <c r="E838" s="19"/>
    </row>
    <row r="839" ht="15.75" customHeight="1">
      <c r="D839" s="11"/>
      <c r="E839" s="19"/>
    </row>
    <row r="840" ht="15.75" customHeight="1">
      <c r="D840" s="11"/>
      <c r="E840" s="19"/>
    </row>
    <row r="841" ht="15.75" customHeight="1">
      <c r="D841" s="11"/>
      <c r="E841" s="19"/>
    </row>
    <row r="842" ht="15.75" customHeight="1">
      <c r="D842" s="11"/>
      <c r="E842" s="19"/>
    </row>
    <row r="843" ht="15.75" customHeight="1">
      <c r="D843" s="11"/>
      <c r="E843" s="19"/>
    </row>
    <row r="844" ht="15.75" customHeight="1">
      <c r="D844" s="11"/>
      <c r="E844" s="19"/>
    </row>
    <row r="845" ht="15.75" customHeight="1">
      <c r="D845" s="11"/>
      <c r="E845" s="19"/>
    </row>
    <row r="846" ht="15.75" customHeight="1">
      <c r="D846" s="11"/>
      <c r="E846" s="19"/>
    </row>
    <row r="847" ht="15.75" customHeight="1">
      <c r="D847" s="11"/>
      <c r="E847" s="19"/>
    </row>
    <row r="848" ht="15.75" customHeight="1">
      <c r="D848" s="11"/>
      <c r="E848" s="19"/>
    </row>
    <row r="849" ht="15.75" customHeight="1">
      <c r="D849" s="11"/>
      <c r="E849" s="19"/>
    </row>
    <row r="850" ht="15.75" customHeight="1">
      <c r="D850" s="11"/>
      <c r="E850" s="19"/>
    </row>
    <row r="851" ht="15.75" customHeight="1">
      <c r="D851" s="11"/>
      <c r="E851" s="19"/>
    </row>
    <row r="852" ht="15.75" customHeight="1">
      <c r="D852" s="11"/>
      <c r="E852" s="19"/>
    </row>
    <row r="853" ht="15.75" customHeight="1">
      <c r="D853" s="11"/>
      <c r="E853" s="19"/>
    </row>
    <row r="854" ht="15.75" customHeight="1">
      <c r="D854" s="11"/>
      <c r="E854" s="19"/>
    </row>
    <row r="855" ht="15.75" customHeight="1">
      <c r="D855" s="11"/>
      <c r="E855" s="19"/>
    </row>
    <row r="856" ht="15.75" customHeight="1">
      <c r="D856" s="11"/>
      <c r="E856" s="19"/>
    </row>
    <row r="857" ht="15.75" customHeight="1">
      <c r="D857" s="11"/>
      <c r="E857" s="19"/>
    </row>
    <row r="858" ht="15.75" customHeight="1">
      <c r="D858" s="11"/>
      <c r="E858" s="19"/>
    </row>
    <row r="859" ht="15.75" customHeight="1">
      <c r="D859" s="11"/>
      <c r="E859" s="19"/>
    </row>
    <row r="860" ht="15.75" customHeight="1">
      <c r="D860" s="11"/>
      <c r="E860" s="19"/>
    </row>
    <row r="861" ht="15.75" customHeight="1">
      <c r="D861" s="11"/>
      <c r="E861" s="19"/>
    </row>
    <row r="862" ht="15.75" customHeight="1">
      <c r="D862" s="11"/>
      <c r="E862" s="19"/>
    </row>
    <row r="863" ht="15.75" customHeight="1">
      <c r="D863" s="11"/>
      <c r="E863" s="19"/>
    </row>
    <row r="864" ht="15.75" customHeight="1">
      <c r="D864" s="11"/>
      <c r="E864" s="19"/>
    </row>
    <row r="865" ht="15.75" customHeight="1">
      <c r="D865" s="11"/>
      <c r="E865" s="19"/>
    </row>
    <row r="866" ht="15.75" customHeight="1">
      <c r="D866" s="11"/>
      <c r="E866" s="19"/>
    </row>
    <row r="867" ht="15.75" customHeight="1">
      <c r="D867" s="11"/>
      <c r="E867" s="19"/>
    </row>
    <row r="868" ht="15.75" customHeight="1">
      <c r="D868" s="11"/>
      <c r="E868" s="19"/>
    </row>
    <row r="869" ht="15.75" customHeight="1">
      <c r="D869" s="11"/>
      <c r="E869" s="19"/>
    </row>
    <row r="870" ht="15.75" customHeight="1">
      <c r="D870" s="11"/>
      <c r="E870" s="19"/>
    </row>
    <row r="871" ht="15.75" customHeight="1">
      <c r="D871" s="11"/>
      <c r="E871" s="19"/>
    </row>
    <row r="872" ht="15.75" customHeight="1">
      <c r="D872" s="11"/>
      <c r="E872" s="19"/>
    </row>
    <row r="873" ht="15.75" customHeight="1">
      <c r="D873" s="11"/>
      <c r="E873" s="19"/>
    </row>
    <row r="874" ht="15.75" customHeight="1">
      <c r="D874" s="11"/>
      <c r="E874" s="19"/>
    </row>
    <row r="875" ht="15.75" customHeight="1">
      <c r="D875" s="11"/>
      <c r="E875" s="19"/>
    </row>
    <row r="876" ht="15.75" customHeight="1">
      <c r="D876" s="11"/>
      <c r="E876" s="19"/>
    </row>
    <row r="877" ht="15.75" customHeight="1">
      <c r="D877" s="11"/>
      <c r="E877" s="19"/>
    </row>
    <row r="878" ht="15.75" customHeight="1">
      <c r="D878" s="11"/>
      <c r="E878" s="19"/>
    </row>
    <row r="879" ht="15.75" customHeight="1">
      <c r="D879" s="11"/>
      <c r="E879" s="19"/>
    </row>
    <row r="880" ht="15.75" customHeight="1">
      <c r="D880" s="11"/>
      <c r="E880" s="19"/>
    </row>
    <row r="881" ht="15.75" customHeight="1">
      <c r="D881" s="11"/>
      <c r="E881" s="19"/>
    </row>
    <row r="882" ht="15.75" customHeight="1">
      <c r="D882" s="11"/>
      <c r="E882" s="19"/>
    </row>
    <row r="883" ht="15.75" customHeight="1">
      <c r="D883" s="11"/>
      <c r="E883" s="19"/>
    </row>
    <row r="884" ht="15.75" customHeight="1">
      <c r="D884" s="11"/>
      <c r="E884" s="19"/>
    </row>
    <row r="885" ht="15.75" customHeight="1">
      <c r="D885" s="11"/>
      <c r="E885" s="19"/>
    </row>
    <row r="886" ht="15.75" customHeight="1">
      <c r="D886" s="11"/>
      <c r="E886" s="19"/>
    </row>
    <row r="887" ht="15.75" customHeight="1">
      <c r="D887" s="11"/>
      <c r="E887" s="19"/>
    </row>
    <row r="888" ht="15.75" customHeight="1">
      <c r="D888" s="11"/>
      <c r="E888" s="19"/>
    </row>
    <row r="889" ht="15.75" customHeight="1">
      <c r="D889" s="11"/>
      <c r="E889" s="19"/>
    </row>
    <row r="890" ht="15.75" customHeight="1">
      <c r="D890" s="11"/>
      <c r="E890" s="19"/>
    </row>
    <row r="891" ht="15.75" customHeight="1">
      <c r="D891" s="11"/>
      <c r="E891" s="19"/>
    </row>
    <row r="892" ht="15.75" customHeight="1">
      <c r="D892" s="11"/>
      <c r="E892" s="19"/>
    </row>
    <row r="893" ht="15.75" customHeight="1">
      <c r="D893" s="11"/>
      <c r="E893" s="19"/>
    </row>
    <row r="894" ht="15.75" customHeight="1">
      <c r="D894" s="11"/>
      <c r="E894" s="19"/>
    </row>
    <row r="895" ht="15.75" customHeight="1">
      <c r="D895" s="11"/>
      <c r="E895" s="19"/>
    </row>
    <row r="896" ht="15.75" customHeight="1">
      <c r="D896" s="11"/>
      <c r="E896" s="19"/>
    </row>
    <row r="897" ht="15.75" customHeight="1">
      <c r="D897" s="11"/>
      <c r="E897" s="19"/>
    </row>
    <row r="898" ht="15.75" customHeight="1">
      <c r="D898" s="11"/>
      <c r="E898" s="19"/>
    </row>
    <row r="899" ht="15.75" customHeight="1">
      <c r="D899" s="11"/>
      <c r="E899" s="19"/>
    </row>
    <row r="900" ht="15.75" customHeight="1">
      <c r="D900" s="11"/>
      <c r="E900" s="19"/>
    </row>
    <row r="901" ht="15.75" customHeight="1">
      <c r="D901" s="11"/>
      <c r="E901" s="19"/>
    </row>
    <row r="902" ht="15.75" customHeight="1">
      <c r="D902" s="11"/>
      <c r="E902" s="19"/>
    </row>
    <row r="903" ht="15.75" customHeight="1">
      <c r="D903" s="11"/>
      <c r="E903" s="19"/>
    </row>
    <row r="904" ht="15.75" customHeight="1">
      <c r="D904" s="11"/>
      <c r="E904" s="19"/>
    </row>
    <row r="905" ht="15.75" customHeight="1">
      <c r="D905" s="11"/>
      <c r="E905" s="19"/>
    </row>
    <row r="906" ht="15.75" customHeight="1">
      <c r="D906" s="11"/>
      <c r="E906" s="19"/>
    </row>
    <row r="907" ht="15.75" customHeight="1">
      <c r="D907" s="11"/>
      <c r="E907" s="19"/>
    </row>
    <row r="908" ht="15.75" customHeight="1">
      <c r="D908" s="11"/>
      <c r="E908" s="19"/>
    </row>
    <row r="909" ht="15.75" customHeight="1">
      <c r="D909" s="11"/>
      <c r="E909" s="19"/>
    </row>
    <row r="910" ht="15.75" customHeight="1">
      <c r="D910" s="11"/>
      <c r="E910" s="19"/>
    </row>
    <row r="911" ht="15.75" customHeight="1">
      <c r="D911" s="11"/>
      <c r="E911" s="19"/>
    </row>
    <row r="912" ht="15.75" customHeight="1">
      <c r="D912" s="11"/>
      <c r="E912" s="19"/>
    </row>
    <row r="913" ht="15.75" customHeight="1">
      <c r="D913" s="11"/>
      <c r="E913" s="19"/>
    </row>
    <row r="914" ht="15.75" customHeight="1">
      <c r="D914" s="11"/>
      <c r="E914" s="19"/>
    </row>
    <row r="915" ht="15.75" customHeight="1">
      <c r="D915" s="11"/>
      <c r="E915" s="19"/>
    </row>
    <row r="916" ht="15.75" customHeight="1">
      <c r="D916" s="11"/>
      <c r="E916" s="19"/>
    </row>
    <row r="917" ht="15.75" customHeight="1">
      <c r="D917" s="11"/>
      <c r="E917" s="19"/>
    </row>
    <row r="918" ht="15.75" customHeight="1">
      <c r="D918" s="11"/>
      <c r="E918" s="19"/>
    </row>
    <row r="919" ht="15.75" customHeight="1">
      <c r="D919" s="11"/>
      <c r="E919" s="19"/>
    </row>
    <row r="920" ht="15.75" customHeight="1">
      <c r="D920" s="11"/>
      <c r="E920" s="19"/>
    </row>
    <row r="921" ht="15.75" customHeight="1">
      <c r="D921" s="11"/>
      <c r="E921" s="19"/>
    </row>
    <row r="922" ht="15.75" customHeight="1">
      <c r="D922" s="11"/>
      <c r="E922" s="19"/>
    </row>
    <row r="923" ht="15.75" customHeight="1">
      <c r="D923" s="11"/>
      <c r="E923" s="19"/>
    </row>
    <row r="924" ht="15.75" customHeight="1">
      <c r="D924" s="11"/>
      <c r="E924" s="19"/>
    </row>
    <row r="925" ht="15.75" customHeight="1">
      <c r="D925" s="11"/>
      <c r="E925" s="19"/>
    </row>
    <row r="926" ht="15.75" customHeight="1">
      <c r="D926" s="11"/>
      <c r="E926" s="19"/>
    </row>
    <row r="927" ht="15.75" customHeight="1">
      <c r="D927" s="11"/>
      <c r="E927" s="19"/>
    </row>
    <row r="928" ht="15.75" customHeight="1">
      <c r="D928" s="11"/>
      <c r="E928" s="19"/>
    </row>
    <row r="929" ht="15.75" customHeight="1">
      <c r="D929" s="11"/>
      <c r="E929" s="19"/>
    </row>
    <row r="930" ht="15.75" customHeight="1">
      <c r="D930" s="11"/>
      <c r="E930" s="19"/>
    </row>
    <row r="931" ht="15.75" customHeight="1">
      <c r="D931" s="11"/>
      <c r="E931" s="19"/>
    </row>
    <row r="932" ht="15.75" customHeight="1">
      <c r="D932" s="11"/>
      <c r="E932" s="19"/>
    </row>
    <row r="933" ht="15.75" customHeight="1">
      <c r="D933" s="11"/>
      <c r="E933" s="19"/>
    </row>
    <row r="934" ht="15.75" customHeight="1">
      <c r="D934" s="11"/>
      <c r="E934" s="19"/>
    </row>
    <row r="935" ht="15.75" customHeight="1">
      <c r="D935" s="11"/>
      <c r="E935" s="19"/>
    </row>
    <row r="936" ht="15.75" customHeight="1">
      <c r="D936" s="11"/>
      <c r="E936" s="19"/>
    </row>
    <row r="937" ht="15.75" customHeight="1">
      <c r="D937" s="11"/>
      <c r="E937" s="19"/>
    </row>
    <row r="938" ht="15.75" customHeight="1">
      <c r="D938" s="11"/>
      <c r="E938" s="19"/>
    </row>
    <row r="939" ht="15.75" customHeight="1">
      <c r="D939" s="11"/>
      <c r="E939" s="19"/>
    </row>
    <row r="940" ht="15.75" customHeight="1">
      <c r="D940" s="11"/>
      <c r="E940" s="19"/>
    </row>
    <row r="941" ht="15.75" customHeight="1">
      <c r="D941" s="11"/>
      <c r="E941" s="19"/>
    </row>
    <row r="942" ht="15.75" customHeight="1">
      <c r="D942" s="11"/>
      <c r="E942" s="19"/>
    </row>
    <row r="943" ht="15.75" customHeight="1">
      <c r="D943" s="11"/>
      <c r="E943" s="19"/>
    </row>
    <row r="944" ht="15.75" customHeight="1">
      <c r="D944" s="11"/>
      <c r="E944" s="19"/>
    </row>
    <row r="945" ht="15.75" customHeight="1">
      <c r="D945" s="11"/>
      <c r="E945" s="19"/>
    </row>
    <row r="946" ht="15.75" customHeight="1">
      <c r="D946" s="11"/>
      <c r="E946" s="19"/>
    </row>
    <row r="947" ht="15.75" customHeight="1">
      <c r="D947" s="11"/>
      <c r="E947" s="19"/>
    </row>
    <row r="948" ht="15.75" customHeight="1">
      <c r="D948" s="11"/>
      <c r="E948" s="19"/>
    </row>
    <row r="949" ht="15.75" customHeight="1">
      <c r="D949" s="11"/>
      <c r="E949" s="19"/>
    </row>
    <row r="950" ht="15.75" customHeight="1">
      <c r="D950" s="11"/>
      <c r="E950" s="19"/>
    </row>
    <row r="951" ht="15.75" customHeight="1">
      <c r="D951" s="11"/>
      <c r="E951" s="19"/>
    </row>
    <row r="952" ht="15.75" customHeight="1">
      <c r="D952" s="11"/>
      <c r="E952" s="19"/>
    </row>
    <row r="953" ht="15.75" customHeight="1">
      <c r="D953" s="11"/>
      <c r="E953" s="19"/>
    </row>
    <row r="954" ht="15.75" customHeight="1">
      <c r="D954" s="11"/>
      <c r="E954" s="19"/>
    </row>
    <row r="955" ht="15.75" customHeight="1">
      <c r="D955" s="11"/>
      <c r="E955" s="19"/>
    </row>
    <row r="956" ht="15.75" customHeight="1">
      <c r="D956" s="11"/>
      <c r="E956" s="19"/>
    </row>
    <row r="957" ht="15.75" customHeight="1">
      <c r="D957" s="11"/>
      <c r="E957" s="19"/>
    </row>
    <row r="958" ht="15.75" customHeight="1">
      <c r="D958" s="11"/>
      <c r="E958" s="19"/>
    </row>
    <row r="959" ht="15.75" customHeight="1">
      <c r="D959" s="11"/>
      <c r="E959" s="19"/>
    </row>
    <row r="960" ht="15.75" customHeight="1">
      <c r="D960" s="11"/>
      <c r="E960" s="19"/>
    </row>
    <row r="961" ht="15.75" customHeight="1">
      <c r="D961" s="11"/>
      <c r="E961" s="19"/>
    </row>
    <row r="962" ht="15.75" customHeight="1">
      <c r="D962" s="11"/>
      <c r="E962" s="19"/>
    </row>
    <row r="963" ht="15.75" customHeight="1">
      <c r="D963" s="11"/>
      <c r="E963" s="19"/>
    </row>
    <row r="964" ht="15.75" customHeight="1">
      <c r="D964" s="11"/>
      <c r="E964" s="19"/>
    </row>
    <row r="965" ht="15.75" customHeight="1">
      <c r="D965" s="11"/>
      <c r="E965" s="19"/>
    </row>
    <row r="966" ht="15.75" customHeight="1">
      <c r="D966" s="11"/>
      <c r="E966" s="19"/>
    </row>
    <row r="967" ht="15.75" customHeight="1">
      <c r="D967" s="11"/>
      <c r="E967" s="19"/>
    </row>
    <row r="968" ht="15.75" customHeight="1">
      <c r="D968" s="11"/>
      <c r="E968" s="19"/>
    </row>
    <row r="969" ht="15.75" customHeight="1">
      <c r="D969" s="11"/>
      <c r="E969" s="19"/>
    </row>
    <row r="970" ht="15.75" customHeight="1">
      <c r="D970" s="11"/>
      <c r="E970" s="19"/>
    </row>
    <row r="971" ht="15.75" customHeight="1">
      <c r="D971" s="11"/>
      <c r="E971" s="19"/>
    </row>
    <row r="972" ht="15.75" customHeight="1">
      <c r="D972" s="11"/>
      <c r="E972" s="19"/>
    </row>
    <row r="973" ht="15.75" customHeight="1">
      <c r="D973" s="11"/>
      <c r="E973" s="19"/>
    </row>
    <row r="974" ht="15.75" customHeight="1">
      <c r="D974" s="11"/>
      <c r="E974" s="19"/>
    </row>
    <row r="975" ht="15.75" customHeight="1">
      <c r="D975" s="11"/>
      <c r="E975" s="19"/>
    </row>
    <row r="976" ht="15.75" customHeight="1">
      <c r="D976" s="11"/>
      <c r="E976" s="19"/>
    </row>
    <row r="977" ht="15.75" customHeight="1">
      <c r="D977" s="11"/>
      <c r="E977" s="19"/>
    </row>
    <row r="978" ht="15.75" customHeight="1">
      <c r="D978" s="11"/>
      <c r="E978" s="19"/>
    </row>
    <row r="979" ht="15.75" customHeight="1">
      <c r="D979" s="11"/>
      <c r="E979" s="19"/>
    </row>
    <row r="980" ht="15.75" customHeight="1">
      <c r="D980" s="11"/>
      <c r="E980" s="19"/>
    </row>
    <row r="981" ht="15.75" customHeight="1">
      <c r="D981" s="11"/>
      <c r="E981" s="19"/>
    </row>
    <row r="982" ht="15.75" customHeight="1">
      <c r="D982" s="11"/>
      <c r="E982" s="19"/>
    </row>
    <row r="983" ht="15.75" customHeight="1">
      <c r="D983" s="11"/>
      <c r="E983" s="19"/>
    </row>
    <row r="984" ht="15.75" customHeight="1">
      <c r="D984" s="11"/>
      <c r="E984" s="19"/>
    </row>
    <row r="985" ht="15.75" customHeight="1">
      <c r="D985" s="11"/>
      <c r="E985" s="19"/>
    </row>
    <row r="986" ht="15.75" customHeight="1">
      <c r="D986" s="11"/>
      <c r="E986" s="19"/>
    </row>
    <row r="987" ht="15.75" customHeight="1">
      <c r="D987" s="11"/>
      <c r="E987" s="19"/>
    </row>
    <row r="988" ht="15.75" customHeight="1">
      <c r="D988" s="11"/>
      <c r="E988" s="19"/>
    </row>
    <row r="989" ht="15.75" customHeight="1">
      <c r="D989" s="11"/>
      <c r="E989" s="19"/>
    </row>
    <row r="990" ht="15.75" customHeight="1">
      <c r="D990" s="11"/>
      <c r="E990" s="19"/>
    </row>
    <row r="991" ht="15.75" customHeight="1">
      <c r="D991" s="11"/>
      <c r="E991" s="19"/>
    </row>
    <row r="992" ht="15.75" customHeight="1">
      <c r="D992" s="11"/>
      <c r="E992" s="19"/>
    </row>
    <row r="993" ht="15.75" customHeight="1">
      <c r="D993" s="11"/>
      <c r="E993" s="19"/>
    </row>
    <row r="994" ht="15.75" customHeight="1">
      <c r="D994" s="11"/>
      <c r="E994" s="19"/>
    </row>
    <row r="995" ht="15.75" customHeight="1">
      <c r="D995" s="11"/>
      <c r="E995" s="19"/>
    </row>
    <row r="996" ht="15.75" customHeight="1">
      <c r="D996" s="11"/>
      <c r="E996" s="19"/>
    </row>
    <row r="997" ht="15.75" customHeight="1">
      <c r="D997" s="11"/>
      <c r="E997" s="19"/>
    </row>
    <row r="998" ht="15.75" customHeight="1">
      <c r="D998" s="11"/>
      <c r="E998" s="19"/>
    </row>
    <row r="999" ht="15.75" customHeight="1">
      <c r="D999" s="11"/>
      <c r="E999" s="19"/>
    </row>
    <row r="1000" ht="15.75" customHeight="1">
      <c r="D1000" s="11"/>
      <c r="E1000" s="19"/>
    </row>
  </sheetData>
  <printOptions/>
  <pageMargins bottom="0.1968503937007874" footer="0.0" header="0.0" left="0.1968503937007874" right="0.1968503937007874" top="0.1968503937007874"/>
  <pageSetup paperSize="9" orientation="landscape"/>
  <drawing r:id="rId1"/>
</worksheet>
</file>